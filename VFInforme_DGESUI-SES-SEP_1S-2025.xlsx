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er semestre 2025 REV.O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<sst xmlns="http://schemas.openxmlformats.org/spreadsheetml/2006/main" count="2421" uniqueCount="279">
  <si>
    <t xml:space="preserve">INFORME DE MATRÍCULA</t>
  </si>
  <si>
    <t xml:space="preserve">NOMBRE DE LA INSTITUCIÓN: UNIVERSIDAD DE COLIMA</t>
  </si>
  <si>
    <t xml:space="preserve">Informe Reportado del Semestre:</t>
  </si>
  <si>
    <t xml:space="preserve">Informe Trimestral Reportado</t>
  </si>
  <si>
    <t xml:space="preserve">Fecha de corte: 30/marzo/2025</t>
  </si>
  <si>
    <t xml:space="preserve">1°</t>
  </si>
  <si>
    <t xml:space="preserve">2°</t>
  </si>
  <si>
    <t xml:space="preserve">3°</t>
  </si>
  <si>
    <t xml:space="preserve">4°</t>
  </si>
  <si>
    <t xml:space="preserve">Fecha de captura: 08/mayo/2025</t>
  </si>
  <si>
    <t xml:space="preserve">MODALIDAD: ESCOLARIZADA</t>
  </si>
  <si>
    <t xml:space="preserve">BRECHA EN MATRICULA TOTAL M-H (%)</t>
  </si>
  <si>
    <t xml:space="preserve">  NOMBRE DEL CAMPUS:  Delegación Manzanillo</t>
  </si>
  <si>
    <t xml:space="preserve">MATRÍCULA </t>
  </si>
  <si>
    <t xml:space="preserve">¿Es STEM? Si=1, No=0</t>
  </si>
  <si>
    <t xml:space="preserve">NIVEL </t>
  </si>
  <si>
    <t xml:space="preserve">ESCUELA / FACULTAD / CENTRO / DES</t>
  </si>
  <si>
    <t xml:space="preserve">MUNICIPIO</t>
  </si>
  <si>
    <t xml:space="preserve">ASPIRANTES</t>
  </si>
  <si>
    <t xml:space="preserve">NUEVO INGRESO</t>
  </si>
  <si>
    <t xml:space="preserve">REINGRESO</t>
  </si>
  <si>
    <t xml:space="preserve">MATRÍCULA TOTAL</t>
  </si>
  <si>
    <t xml:space="preserve">MEDIA SUPERIOR</t>
  </si>
  <si>
    <t xml:space="preserve">H</t>
  </si>
  <si>
    <t xml:space="preserve">M</t>
  </si>
  <si>
    <t xml:space="preserve">Total</t>
  </si>
  <si>
    <t xml:space="preserve">Bachillerato General  </t>
  </si>
  <si>
    <t xml:space="preserve">Bachillerato 8                                            </t>
  </si>
  <si>
    <t xml:space="preserve">Manzanillo</t>
  </si>
  <si>
    <t xml:space="preserve">Bachillerato Técnico en Dibujo</t>
  </si>
  <si>
    <t xml:space="preserve">Bachillerato Técnico en Contabilidad</t>
  </si>
  <si>
    <t xml:space="preserve">Bachillerato Técnico Analista Programador</t>
  </si>
  <si>
    <t xml:space="preserve">Bachillerato General</t>
  </si>
  <si>
    <t xml:space="preserve">Bachillerato 9                                            </t>
  </si>
  <si>
    <t xml:space="preserve">Bachillerato Técnico Analista Químico</t>
  </si>
  <si>
    <t xml:space="preserve">Bachillerato 10                                           </t>
  </si>
  <si>
    <t xml:space="preserve">Bachillerato 14                                           </t>
  </si>
  <si>
    <t xml:space="preserve">Enfermero  General</t>
  </si>
  <si>
    <t xml:space="preserve">Escuela Técnica de Enfermería                                         </t>
  </si>
  <si>
    <t xml:space="preserve">Profesional Técnico Bachiller en Enfermería General</t>
  </si>
  <si>
    <t xml:space="preserve">Bachillerato General   </t>
  </si>
  <si>
    <t xml:space="preserve">Bachillerato 23                                           </t>
  </si>
  <si>
    <t xml:space="preserve">Bachillerato 27                                           </t>
  </si>
  <si>
    <t xml:space="preserve">Bachillerato 28                                           </t>
  </si>
  <si>
    <t xml:space="preserve">Bachillerato General Modalidad Semiescolarizado</t>
  </si>
  <si>
    <t xml:space="preserve">Bachillerato 10</t>
  </si>
  <si>
    <t xml:space="preserve">TOTAL</t>
  </si>
  <si>
    <t xml:space="preserve">TSU / PA</t>
  </si>
  <si>
    <t xml:space="preserve">LICENCIATURA</t>
  </si>
  <si>
    <t xml:space="preserve">Licenciado en Oceanología    </t>
  </si>
  <si>
    <t xml:space="preserve">Facultad de Ciencias Marinas                                          </t>
  </si>
  <si>
    <t xml:space="preserve">Licenciatura en Gestión de Recursos Marinos y Portuarios</t>
  </si>
  <si>
    <t xml:space="preserve">Ingeniero Oceánico    </t>
  </si>
  <si>
    <t xml:space="preserve">Contador Público    </t>
  </si>
  <si>
    <t xml:space="preserve">Facultad de Contabilidad y Administración Manzanillo               </t>
  </si>
  <si>
    <t xml:space="preserve">Licenciado en Administración   </t>
  </si>
  <si>
    <t xml:space="preserve">Licenciado en Gestión de Negocios Digitales</t>
  </si>
  <si>
    <t xml:space="preserve">Ingeniero  Mecánico Electricista    </t>
  </si>
  <si>
    <t xml:space="preserve">Facultad de Ingeniería Electromecánica                                </t>
  </si>
  <si>
    <t xml:space="preserve">Ingeniero de Software</t>
  </si>
  <si>
    <t xml:space="preserve">Ingeniero en Mecatrónica</t>
  </si>
  <si>
    <t xml:space="preserve">Ingeniero en Tecnologías Electrónicas</t>
  </si>
  <si>
    <t xml:space="preserve">Licenciado en Gastronomía</t>
  </si>
  <si>
    <t xml:space="preserve">Facultad de Turismo y Gastronomía</t>
  </si>
  <si>
    <t xml:space="preserve">Licenciado en Gestión Turística </t>
  </si>
  <si>
    <t xml:space="preserve">Licenciado en Comercio Exterior    </t>
  </si>
  <si>
    <t xml:space="preserve">Facultad de Comercio Exterior                                   </t>
  </si>
  <si>
    <t xml:space="preserve">Licenciado en Aduanas      </t>
  </si>
  <si>
    <t xml:space="preserve">ESPECIALIDAD</t>
  </si>
  <si>
    <t xml:space="preserve">Programa Educativo 1 </t>
  </si>
  <si>
    <t xml:space="preserve">Programa Educativo 2</t>
  </si>
  <si>
    <t xml:space="preserve">Programa Educativo n</t>
  </si>
  <si>
    <t xml:space="preserve">MAESTRÍA</t>
  </si>
  <si>
    <t xml:space="preserve">Maestría en Fiscal   </t>
  </si>
  <si>
    <t xml:space="preserve">Maestría en Alta Dirección</t>
  </si>
  <si>
    <t xml:space="preserve">Maestría en Desarrollo Corporativo del Comercio Internacional</t>
  </si>
  <si>
    <t xml:space="preserve">DOCTORADO</t>
  </si>
  <si>
    <t xml:space="preserve">TOTAL DEL CAMPUS</t>
  </si>
  <si>
    <t xml:space="preserve">NOMBRE DEL CAMPUS:  Delegación Tecomán</t>
  </si>
  <si>
    <t xml:space="preserve">Bachillerato 5                                            </t>
  </si>
  <si>
    <t xml:space="preserve">Tecomán</t>
  </si>
  <si>
    <t xml:space="preserve">Bachillerato 6                                            </t>
  </si>
  <si>
    <t xml:space="preserve">Bachillerato 7                                            </t>
  </si>
  <si>
    <t xml:space="preserve">Armería</t>
  </si>
  <si>
    <t xml:space="preserve">Bachillerato 19                                           </t>
  </si>
  <si>
    <t xml:space="preserve">Bachillerato 20                                           </t>
  </si>
  <si>
    <t xml:space="preserve">Bachillerato 21                                           </t>
  </si>
  <si>
    <t xml:space="preserve">Bachillerato 26                                           </t>
  </si>
  <si>
    <t xml:space="preserve">Ixtlahuacán</t>
  </si>
  <si>
    <t xml:space="preserve">Bachillerato General Modalidad  Semiescolarizado </t>
  </si>
  <si>
    <t xml:space="preserve">Bachillerato 6</t>
  </si>
  <si>
    <t xml:space="preserve">Bachillerato 24                                           </t>
  </si>
  <si>
    <t xml:space="preserve">Bachillerato 31                                           </t>
  </si>
  <si>
    <t xml:space="preserve">Bachillerato 35</t>
  </si>
  <si>
    <t xml:space="preserve">Contador Público</t>
  </si>
  <si>
    <t xml:space="preserve">Facultad de Contabilidad y Administración Tecomán               </t>
  </si>
  <si>
    <t xml:space="preserve">Licenciado en Administración</t>
  </si>
  <si>
    <t xml:space="preserve">Ingeniero Agrónomo</t>
  </si>
  <si>
    <t xml:space="preserve">Facultad de Ciencias Biológicas y Agropecuarias                   </t>
  </si>
  <si>
    <t xml:space="preserve">Licenciado en Biología</t>
  </si>
  <si>
    <t xml:space="preserve">Médico Veterinario Zootecnista</t>
  </si>
  <si>
    <t xml:space="preserve">Facultad de Medicina Veterinaria y Zootecnia                  </t>
  </si>
  <si>
    <t xml:space="preserve">Maestría en Agricultura Protegida</t>
  </si>
  <si>
    <t xml:space="preserve">Facultad de Ciencias Biológicas y Agropecuarias                    </t>
  </si>
  <si>
    <t xml:space="preserve">Maestría Interinstitucional en Producción Pecuaria</t>
  </si>
  <si>
    <t xml:space="preserve">Facultad de Medicina Veterinaria y Zootecnia                           </t>
  </si>
  <si>
    <t xml:space="preserve">Facultad de Contabilidad y Administración Tecomán                    </t>
  </si>
  <si>
    <t xml:space="preserve">NOMBRE DEL CAMPUS:  Delegación Colima</t>
  </si>
  <si>
    <t xml:space="preserve">NIVEL</t>
  </si>
  <si>
    <t xml:space="preserve"> MEDIA SUPERIOR</t>
  </si>
  <si>
    <t xml:space="preserve">Bachillerato  1</t>
  </si>
  <si>
    <t xml:space="preserve">Colima</t>
  </si>
  <si>
    <t xml:space="preserve">Bachillerato  2</t>
  </si>
  <si>
    <t xml:space="preserve">Bachillerato  3</t>
  </si>
  <si>
    <t xml:space="preserve">Bachillerato  15</t>
  </si>
  <si>
    <t xml:space="preserve">Técnico en Música</t>
  </si>
  <si>
    <t xml:space="preserve">Instituto Universitario de Bellas Artes                            </t>
  </si>
  <si>
    <t xml:space="preserve">Bachillerato 30                                           </t>
  </si>
  <si>
    <t xml:space="preserve">Bachillerato 29</t>
  </si>
  <si>
    <t xml:space="preserve">Bachillerato 3</t>
  </si>
  <si>
    <t xml:space="preserve">Licenciado en Derecho    </t>
  </si>
  <si>
    <t xml:space="preserve">Facultad de Derecho                                                  </t>
  </si>
  <si>
    <t xml:space="preserve">Facultad de Contabilidad y Administración Colima                     </t>
  </si>
  <si>
    <t xml:space="preserve">Licenciado  en Administración Pública y Ciencia Política    </t>
  </si>
  <si>
    <t xml:space="preserve">Facultad de Ciencias Políticas y Sociales                             </t>
  </si>
  <si>
    <t xml:space="preserve">Licenciado en Relaciones Internacionales</t>
  </si>
  <si>
    <t xml:space="preserve">Médico Cirujano y Partero    </t>
  </si>
  <si>
    <t xml:space="preserve">Facultad de Medicina                                                  </t>
  </si>
  <si>
    <t xml:space="preserve">Licenciado en Nutrición</t>
  </si>
  <si>
    <t xml:space="preserve">Licenciado en Educación Especial     </t>
  </si>
  <si>
    <t xml:space="preserve">Facultad de Ciencias de la Educación                               </t>
  </si>
  <si>
    <t xml:space="preserve">Licenciado en Educación Física y Deporte    </t>
  </si>
  <si>
    <t xml:space="preserve">Licenciado en enseñanza de las Matemáticas</t>
  </si>
  <si>
    <t xml:space="preserve">Licenciado en Comunicación    </t>
  </si>
  <si>
    <t xml:space="preserve">Facultad de Letras y Comunicación                              </t>
  </si>
  <si>
    <t xml:space="preserve">Licenciado en Letras Hispanoamericanas     </t>
  </si>
  <si>
    <t xml:space="preserve">Licenciado en Periodismo     </t>
  </si>
  <si>
    <t xml:space="preserve">Licenciado en Lingüística     </t>
  </si>
  <si>
    <t xml:space="preserve">Licenciado en Enfermería    </t>
  </si>
  <si>
    <t xml:space="preserve">Facultad de Enfermería                                          </t>
  </si>
  <si>
    <t xml:space="preserve">Licenciado en Trabajo Social   </t>
  </si>
  <si>
    <t xml:space="preserve">Facultad de Trabajo Social                                   </t>
  </si>
  <si>
    <t xml:space="preserve">Licenciado en Psicología     </t>
  </si>
  <si>
    <t xml:space="preserve">Facultad de Psicología                                                </t>
  </si>
  <si>
    <t xml:space="preserve">Licenciado en Matemáticas   </t>
  </si>
  <si>
    <t xml:space="preserve">Facultad de Ciencias                                                  </t>
  </si>
  <si>
    <t xml:space="preserve">Licenciado en Física   </t>
  </si>
  <si>
    <t xml:space="preserve">Licenciatura en Gestión y Reducción del Riesgo de Desastres</t>
  </si>
  <si>
    <t xml:space="preserve">Facultad de Telemática                                               </t>
  </si>
  <si>
    <t xml:space="preserve">Ingeniería en Tecnologías de Internet</t>
  </si>
  <si>
    <t xml:space="preserve">Licenciado en Danza Escénica    </t>
  </si>
  <si>
    <t xml:space="preserve">Licenciado en Artes Visuales</t>
  </si>
  <si>
    <t xml:space="preserve">Licenciado en Música</t>
  </si>
  <si>
    <t xml:space="preserve">Licenciado en Mercadotecnia    </t>
  </si>
  <si>
    <t xml:space="preserve">Facultad de Mercadotecnia</t>
  </si>
  <si>
    <t xml:space="preserve">Licenciado en Publicidad y Relaciones Públicas</t>
  </si>
  <si>
    <t xml:space="preserve">Facultadde Mercadotecnia</t>
  </si>
  <si>
    <t xml:space="preserve">Especialidad en Medicina Familiar   </t>
  </si>
  <si>
    <t xml:space="preserve">Facultad de Medicina</t>
  </si>
  <si>
    <t xml:space="preserve">Colima </t>
  </si>
  <si>
    <t xml:space="preserve">Especialidad en Anestesiología   </t>
  </si>
  <si>
    <t xml:space="preserve">Especialidad en Cirugía General   </t>
  </si>
  <si>
    <t xml:space="preserve">Especialidad en Ginecología y Obstetricia   </t>
  </si>
  <si>
    <t xml:space="preserve">Especialidad en Medicina Interna   </t>
  </si>
  <si>
    <t xml:space="preserve">Especialidad en Pediatría   </t>
  </si>
  <si>
    <t xml:space="preserve">Especialidad en Traumatología y Ortopedia</t>
  </si>
  <si>
    <t xml:space="preserve">Especialidad en Geriatría</t>
  </si>
  <si>
    <t xml:space="preserve">Especialidad en Urgencias Médico-Quirúrgicas</t>
  </si>
  <si>
    <t xml:space="preserve">Especialidad en Epidemiología</t>
  </si>
  <si>
    <t xml:space="preserve">Especialidad en Imagenología Diagnóstica y Terapéutica</t>
  </si>
  <si>
    <t xml:space="preserve">Especialista en Medicina del Trabajo y Ambiental</t>
  </si>
  <si>
    <t xml:space="preserve">Alta Especialidad en Cirugía Bariátrica y Metabólica</t>
  </si>
  <si>
    <t xml:space="preserve">Especialidad en Enfermería Quirúrgica </t>
  </si>
  <si>
    <t xml:space="preserve">Maestría en Intervención Educativa</t>
  </si>
  <si>
    <t xml:space="preserve">Maestría en Derecho</t>
  </si>
  <si>
    <t xml:space="preserve">Maestría en Estudios Literarios Mexicanos</t>
  </si>
  <si>
    <t xml:space="preserve">Maestría en Ciencias Médicas   </t>
  </si>
  <si>
    <t xml:space="preserve">Maestría en Ciencias Fisiológicas   </t>
  </si>
  <si>
    <t xml:space="preserve">Maestría en Psicología</t>
  </si>
  <si>
    <t xml:space="preserve">Maestría en Tecnologías de Internet</t>
  </si>
  <si>
    <t xml:space="preserve">Doctorado en Derecho    </t>
  </si>
  <si>
    <t xml:space="preserve">Doctorado en Ciencias Médicas   </t>
  </si>
  <si>
    <t xml:space="preserve">Doctorado en Ciencias Fisiológicas   </t>
  </si>
  <si>
    <t xml:space="preserve">Doctorado en Psicología</t>
  </si>
  <si>
    <t xml:space="preserve">NOMBRE DEL CAMPUS:  Delegación Coquimatlán</t>
  </si>
  <si>
    <t xml:space="preserve">NIVEL MEDIA SUPERIOR</t>
  </si>
  <si>
    <t xml:space="preserve">Bachillerato 18                                           </t>
  </si>
  <si>
    <t xml:space="preserve">Coquimatlán</t>
  </si>
  <si>
    <t xml:space="preserve">Ingeniero Civil   </t>
  </si>
  <si>
    <t xml:space="preserve">Facultad de Ingeniería Civil                                          </t>
  </si>
  <si>
    <t xml:space="preserve">Ingeniero Topógrafo Geomático   </t>
  </si>
  <si>
    <t xml:space="preserve">Ingeniero Químico en Alimentos    </t>
  </si>
  <si>
    <t xml:space="preserve">Facultad de Ciencias Químicas                                         </t>
  </si>
  <si>
    <t xml:space="preserve">Ingeniero Químico Metalúrgico    </t>
  </si>
  <si>
    <t xml:space="preserve">Químico Farmacéutico Biólogo    </t>
  </si>
  <si>
    <t xml:space="preserve">Facultad de Ingeniería Mecánica y Eléctrica                           </t>
  </si>
  <si>
    <t xml:space="preserve">Ingeniería en Sistemas Electrónicos y Telecomunicaciones</t>
  </si>
  <si>
    <t xml:space="preserve">Ingeniería en Computación Inteligente</t>
  </si>
  <si>
    <t xml:space="preserve">Arquitecto     </t>
  </si>
  <si>
    <t xml:space="preserve">Facultad de Arquitectura y Diseño                                     </t>
  </si>
  <si>
    <t xml:space="preserve">Licenciatura en Arquitectura </t>
  </si>
  <si>
    <t xml:space="preserve">Licenciado en Diseño Gráfico    </t>
  </si>
  <si>
    <t xml:space="preserve">Licenciado en Diseño Industrial    </t>
  </si>
  <si>
    <t xml:space="preserve">Programa Educativo 1</t>
  </si>
  <si>
    <t xml:space="preserve">Maestría en Ingeniería de Procesos</t>
  </si>
  <si>
    <t xml:space="preserve">Maestría en Ingeniería Aplicada</t>
  </si>
  <si>
    <t xml:space="preserve">Maestría en Arquitectura   </t>
  </si>
  <si>
    <t xml:space="preserve">Maestría en Ingeniería Química Ambiental</t>
  </si>
  <si>
    <t xml:space="preserve">Doctorado en Arquitectura    </t>
  </si>
  <si>
    <t xml:space="preserve">Doctorado en Ciencias Químicas</t>
  </si>
  <si>
    <t xml:space="preserve">NOMBRE DEL CAMPUS:  Delegación Villa de Álvarez</t>
  </si>
  <si>
    <t xml:space="preserve">Bachillerato 4                                            </t>
  </si>
  <si>
    <t xml:space="preserve">Villa de Álvarez</t>
  </si>
  <si>
    <t xml:space="preserve">Bachillerato Técnico en Dibujo    </t>
  </si>
  <si>
    <t xml:space="preserve">Bachillerato Técnico Analista Químico    </t>
  </si>
  <si>
    <t xml:space="preserve">Bachillerato 11                                           </t>
  </si>
  <si>
    <t xml:space="preserve">Minatitlán</t>
  </si>
  <si>
    <t xml:space="preserve">Bachillerato Técnico en Contabilidad    </t>
  </si>
  <si>
    <t xml:space="preserve">Bachillerato Técnico en Electromecánica</t>
  </si>
  <si>
    <t xml:space="preserve">Bachillerato 12                                           </t>
  </si>
  <si>
    <t xml:space="preserve">Cuauhtémoc</t>
  </si>
  <si>
    <t xml:space="preserve">Bachillerato 13                                           </t>
  </si>
  <si>
    <t xml:space="preserve">Bachillerato 16                                           </t>
  </si>
  <si>
    <t xml:space="preserve">Bachillerato Técnico  Analista Químico    </t>
  </si>
  <si>
    <t xml:space="preserve">Bachillerato Técnico Analista Programador    </t>
  </si>
  <si>
    <t xml:space="preserve">Bachillerato 22                                           </t>
  </si>
  <si>
    <t xml:space="preserve">Bachillerato 25                                           </t>
  </si>
  <si>
    <t xml:space="preserve">Comala</t>
  </si>
  <si>
    <t xml:space="preserve">Bachillerato 17                                           </t>
  </si>
  <si>
    <t xml:space="preserve">Bachillerato 32                                           </t>
  </si>
  <si>
    <t xml:space="preserve">Bachillerato 33</t>
  </si>
  <si>
    <t xml:space="preserve">Bachillerato General Bilingüe</t>
  </si>
  <si>
    <t xml:space="preserve">Bachillerato 34</t>
  </si>
  <si>
    <t xml:space="preserve">Licenciado en Economía    </t>
  </si>
  <si>
    <t xml:space="preserve">Facultad de Economía                                                  </t>
  </si>
  <si>
    <t xml:space="preserve">Licenciado en Finanzas</t>
  </si>
  <si>
    <t xml:space="preserve">Licenciado en Negocios Internacionales</t>
  </si>
  <si>
    <t xml:space="preserve">Licenciado en Pedagogía    </t>
  </si>
  <si>
    <t xml:space="preserve">Facultad de Pedagogía                                                 </t>
  </si>
  <si>
    <t xml:space="preserve">Licenciado en Enseñanza de Lenguas    </t>
  </si>
  <si>
    <t xml:space="preserve">Facultad de Lenguas Extranjeras                                      </t>
  </si>
  <si>
    <t xml:space="preserve">Licenciado en Filosofía    </t>
  </si>
  <si>
    <t xml:space="preserve">Facultad de Filosofía</t>
  </si>
  <si>
    <t xml:space="preserve">Facultad de Turismo                                                   </t>
  </si>
  <si>
    <t xml:space="preserve">Maestría en Gestión del Desarrollo</t>
  </si>
  <si>
    <t xml:space="preserve">Maestría en Innovación Educativa</t>
  </si>
  <si>
    <t xml:space="preserve">Doctorado en Economía Social Solidaria</t>
  </si>
  <si>
    <t xml:space="preserve">TOTAL MATRÍCULA ESCOLARIZADA</t>
  </si>
  <si>
    <t xml:space="preserve">MODALIDAD: NO ESCOLARIZADA (MIXTA)</t>
  </si>
  <si>
    <t xml:space="preserve">NOMBRE DEL CAMPUS:  Delegación Manzanillo</t>
  </si>
  <si>
    <t xml:space="preserve">Bachillerato General ¹</t>
  </si>
  <si>
    <t xml:space="preserve">Bachillerato Técnico en Ventas ¹</t>
  </si>
  <si>
    <t xml:space="preserve">Licenciatura en Aduanas ¹</t>
  </si>
  <si>
    <t xml:space="preserve">Licenciatura en Comercio Exterior ¹</t>
  </si>
  <si>
    <t xml:space="preserve">Licenciatura en Gastronomía ¹</t>
  </si>
  <si>
    <t xml:space="preserve">Bachillerato 20</t>
  </si>
  <si>
    <t xml:space="preserve">Licenciado en Periodismo Digital ¹</t>
  </si>
  <si>
    <t xml:space="preserve">Maestría en Gerontología ¹</t>
  </si>
  <si>
    <t xml:space="preserve">Facultad de Trabajo Social                                          </t>
  </si>
  <si>
    <t xml:space="preserve">Maestría en Bioética ¹</t>
  </si>
  <si>
    <t xml:space="preserve">Facultad de Derecho                                           </t>
  </si>
  <si>
    <t xml:space="preserve">Maestría en Nutrición Clínica ¹</t>
  </si>
  <si>
    <t xml:space="preserve">Maestría en Transformación Digital</t>
  </si>
  <si>
    <t xml:space="preserve">Maestría en Gestión de Marcas en Entornos Físicos y Digitales </t>
  </si>
  <si>
    <t xml:space="preserve">Doctorado en Estudios Sociopolíticos para el Desarrollo Glocal  ¹</t>
  </si>
  <si>
    <t xml:space="preserve">Facultad de Ciencias Políticas y Sociales                              </t>
  </si>
  <si>
    <t xml:space="preserve">Doctorado en Estudios Socioculturales sobre las Desigualdades  ¹</t>
  </si>
  <si>
    <t xml:space="preserve">Facultad de Letras y Comunicación</t>
  </si>
  <si>
    <t xml:space="preserve">Doctorado en Cambio Ambiental Global ¹</t>
  </si>
  <si>
    <t xml:space="preserve">Maestría en Profesionalización de la Docencia de Lenguas Extranjeras ¹</t>
  </si>
  <si>
    <t xml:space="preserve">Doctorado en Relaciones Transpacíficas ¹</t>
  </si>
  <si>
    <t xml:space="preserve">Facultad de Economía</t>
  </si>
  <si>
    <t xml:space="preserve">TOTAL MATRÍCULA NO ESCOLARIZADA (MIXTA)</t>
  </si>
  <si>
    <t xml:space="preserve">TOTAL MATRÍCULA INSTITUCIÓN</t>
  </si>
  <si>
    <r>
      <rPr>
        <b val="true"/>
        <sz val="12"/>
        <color theme="1"/>
        <rFont val="Calibri"/>
        <family val="0"/>
        <charset val="1"/>
      </rPr>
      <t xml:space="preserve">¹ </t>
    </r>
    <r>
      <rPr>
        <sz val="12"/>
        <color theme="1"/>
        <rFont val="Calibri"/>
        <family val="0"/>
        <charset val="1"/>
      </rPr>
      <t xml:space="preserve">Programas educativos con Modalidad Mixta. Se registran en la Modalidad No Escolarizada, debido a que en el reporte de Oficialización de la Estadística 911 de Educación Superior, la Modalidad Mixta se ve reflejada como parte de la no escolarizada por clasificación de la SEP.</t>
    </r>
  </si>
  <si>
    <t xml:space="preserve">Mtra. Liz Georgette Murillo Zamora</t>
  </si>
  <si>
    <t xml:space="preserve">Dr. Rogelio Pinto Pérez</t>
  </si>
  <si>
    <t xml:space="preserve">Directora General de Administración Escolar</t>
  </si>
  <si>
    <t xml:space="preserve">Coordinador de Planeación y Desarrollo Institucional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</si>
</sst>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0.00%"/>
    <numFmt numFmtId="167" formatCode="General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"/>
    </font>
    <font>
      <b val="true"/>
      <sz val="20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b val="true"/>
      <sz val="18"/>
      <color rgb="FF2F5496"/>
      <name val="Calibri"/>
      <family val="0"/>
      <charset val="1"/>
    </font>
    <font>
      <sz val="18"/>
      <color theme="1"/>
      <name val="Calibri"/>
      <family val="0"/>
      <charset val="1"/>
    </font>
    <font>
      <sz val="18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6"/>
      <color theme="1"/>
      <name val="Calibri"/>
      <family val="0"/>
      <charset val="1"/>
    </font>
    <font>
      <sz val="14"/>
      <color rgb="FF222222"/>
      <name val="Calibri"/>
      <family val="0"/>
      <charset val="1"/>
    </font>
    <font>
      <b val="true"/>
      <sz val="14"/>
      <color rgb="FF222222"/>
      <name val="Calibri"/>
      <family val="0"/>
      <charset val="1"/>
    </font>
    <font>
      <b val="true"/>
      <sz val="16"/>
      <color rgb="FF222222"/>
      <name val="Calibri"/>
      <family val="0"/>
      <charset val="1"/>
    </font>
    <font>
      <sz val="11"/>
      <color rgb="FFFF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A9D18E"/>
      </patternFill>
    </fill>
    <fill>
      <patternFill patternType="solid">
        <fgColor theme="0"/>
        <bgColor rgb="FFFFFFCC"/>
      </patternFill>
    </fill>
    <fill>
      <patternFill patternType="solid">
        <fgColor rgb="FF8E86AE"/>
        <bgColor rgb="FF808080"/>
      </patternFill>
    </fill>
    <fill>
      <patternFill patternType="solid">
        <fgColor theme="9" tint="0.3999"/>
        <bgColor rgb="FF92D050"/>
      </patternFill>
    </fill>
    <fill>
      <patternFill patternType="solid">
        <fgColor rgb="FF00B0F0"/>
        <bgColor rgb="FF33CC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2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3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3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3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3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3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4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5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2F5496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341"/>
  <sheetViews>
    <sheetView showFormulas="false" showGridLines="true" showRowColHeaders="true" showZeros="true" rightToLeft="false" tabSelected="true" showOutlineSymbols="true" defaultGridColor="true" view="normal" topLeftCell="A433" colorId="64" zoomScale="60" zoomScaleNormal="60" zoomScalePageLayoutView="100" workbookViewId="0">
      <selection pane="topLeft" activeCell="R421" activeCellId="0" sqref="R42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85.15"/>
    <col collapsed="false" customWidth="true" hidden="false" outlineLevel="0" max="2" min="2" style="1" width="73.42"/>
    <col collapsed="false" customWidth="true" hidden="false" outlineLevel="0" max="3" min="3" style="1" width="24"/>
    <col collapsed="false" customWidth="true" hidden="false" outlineLevel="0" max="4" min="4" style="1" width="12.42"/>
    <col collapsed="false" customWidth="true" hidden="false" outlineLevel="0" max="5" min="5" style="1" width="11.14"/>
    <col collapsed="false" customWidth="true" hidden="false" outlineLevel="0" max="6" min="6" style="1" width="13.42"/>
    <col collapsed="false" customWidth="true" hidden="false" outlineLevel="0" max="7" min="7" style="1" width="10.42"/>
    <col collapsed="false" customWidth="true" hidden="false" outlineLevel="0" max="8" min="8" style="1" width="10.14"/>
    <col collapsed="false" customWidth="true" hidden="false" outlineLevel="0" max="9" min="9" style="1" width="14.86"/>
    <col collapsed="false" customWidth="true" hidden="false" outlineLevel="0" max="10" min="10" style="1" width="13.71"/>
    <col collapsed="false" customWidth="true" hidden="false" outlineLevel="0" max="12" min="12" style="1" width="15.57"/>
    <col collapsed="false" customWidth="true" hidden="false" outlineLevel="0" max="13" min="13" style="1" width="13.15"/>
    <col collapsed="false" customWidth="true" hidden="false" outlineLevel="0" max="14" min="14" style="1" width="14.29"/>
    <col collapsed="false" customWidth="true" hidden="false" outlineLevel="0" max="15" min="15" style="1" width="19.57"/>
    <col collapsed="false" customWidth="true" hidden="false" outlineLevel="0" max="16" min="16" style="2" width="18.33"/>
    <col collapsed="false" customWidth="true" hidden="false" outlineLevel="0" max="17" min="17" style="2" width="13.68"/>
    <col collapsed="false" customWidth="true" hidden="false" outlineLevel="0" max="18" min="18" style="1" width="20.41"/>
    <col collapsed="false" customWidth="true" hidden="false" outlineLevel="0" max="26" min="19" style="1" width="11.43"/>
  </cols>
  <sheetData>
    <row r="1" customFormat="false" ht="17.35" hidden="false" customHeight="false" outlineLevel="0" collapsed="false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62.2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2"/>
      <c r="S2" s="2"/>
      <c r="T2" s="2"/>
      <c r="U2" s="2"/>
      <c r="V2" s="2"/>
      <c r="W2" s="2"/>
      <c r="X2" s="2"/>
      <c r="Y2" s="2"/>
      <c r="Z2" s="2"/>
    </row>
    <row r="3" customFormat="false" ht="17.3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R3" s="2"/>
      <c r="S3" s="2"/>
      <c r="T3" s="2"/>
      <c r="U3" s="2"/>
      <c r="V3" s="2"/>
      <c r="W3" s="2"/>
      <c r="X3" s="2"/>
      <c r="Y3" s="2"/>
      <c r="Z3" s="2"/>
    </row>
    <row r="4" customFormat="false" ht="31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R4" s="2"/>
      <c r="S4" s="2"/>
      <c r="T4" s="2"/>
      <c r="U4" s="2"/>
      <c r="V4" s="2"/>
      <c r="W4" s="2"/>
      <c r="X4" s="2"/>
      <c r="Y4" s="2"/>
      <c r="Z4" s="2"/>
    </row>
    <row r="5" customFormat="false" ht="27" hidden="false" customHeight="true" outlineLevel="0" collapsed="false">
      <c r="A5" s="6" t="s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/>
      <c r="R5" s="8"/>
      <c r="S5" s="8"/>
      <c r="T5" s="8"/>
      <c r="U5" s="8"/>
      <c r="V5" s="8"/>
      <c r="W5" s="8"/>
      <c r="X5" s="8"/>
      <c r="Y5" s="8"/>
      <c r="Z5" s="8"/>
    </row>
    <row r="6" customFormat="false" ht="17.35" hidden="false" customHeight="false" outlineLevel="0" collapsed="false">
      <c r="A6" s="9"/>
      <c r="B6" s="9"/>
      <c r="C6" s="9"/>
      <c r="D6" s="10"/>
      <c r="E6" s="10"/>
      <c r="F6" s="10"/>
      <c r="G6" s="3"/>
      <c r="H6" s="3"/>
      <c r="I6" s="3"/>
      <c r="J6" s="3"/>
      <c r="K6" s="10"/>
      <c r="L6" s="10"/>
      <c r="M6" s="10"/>
      <c r="N6" s="10"/>
      <c r="O6" s="10"/>
    </row>
    <row r="7" customFormat="false" ht="19.5" hidden="false" customHeight="true" outlineLevel="0" collapsed="false">
      <c r="A7" s="11"/>
      <c r="B7" s="11"/>
      <c r="C7" s="12"/>
      <c r="D7" s="13" t="s">
        <v>2</v>
      </c>
      <c r="E7" s="13"/>
      <c r="F7" s="13"/>
      <c r="G7" s="13"/>
      <c r="H7" s="5"/>
      <c r="I7" s="13" t="s">
        <v>3</v>
      </c>
      <c r="J7" s="13"/>
      <c r="K7" s="13"/>
      <c r="L7" s="13"/>
      <c r="M7" s="14"/>
      <c r="N7" s="14"/>
      <c r="O7" s="14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23.25" hidden="false" customHeight="true" outlineLevel="0" collapsed="false">
      <c r="A8" s="15" t="s">
        <v>4</v>
      </c>
      <c r="B8" s="16"/>
      <c r="C8" s="11"/>
      <c r="D8" s="17" t="s">
        <v>5</v>
      </c>
      <c r="E8" s="17"/>
      <c r="F8" s="18" t="s">
        <v>6</v>
      </c>
      <c r="G8" s="18"/>
      <c r="H8" s="5"/>
      <c r="I8" s="17" t="s">
        <v>5</v>
      </c>
      <c r="J8" s="19" t="s">
        <v>6</v>
      </c>
      <c r="K8" s="19" t="s">
        <v>7</v>
      </c>
      <c r="L8" s="18" t="s">
        <v>8</v>
      </c>
      <c r="M8" s="14"/>
      <c r="N8" s="14"/>
      <c r="O8" s="14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27" hidden="false" customHeight="true" outlineLevel="0" collapsed="false">
      <c r="A9" s="20" t="s">
        <v>9</v>
      </c>
      <c r="B9" s="21"/>
      <c r="C9" s="11"/>
      <c r="D9" s="22" t="n">
        <v>45853</v>
      </c>
      <c r="E9" s="22"/>
      <c r="F9" s="23" t="n">
        <v>46006</v>
      </c>
      <c r="G9" s="23"/>
      <c r="H9" s="24"/>
      <c r="I9" s="25" t="n">
        <v>45762</v>
      </c>
      <c r="J9" s="26" t="n">
        <v>45853</v>
      </c>
      <c r="K9" s="27" t="n">
        <v>45945</v>
      </c>
      <c r="L9" s="28" t="n">
        <v>46037</v>
      </c>
      <c r="M9" s="14"/>
      <c r="N9" s="14"/>
      <c r="O9" s="14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7.35" hidden="false" customHeight="false" outlineLevel="0" collapsed="false">
      <c r="A10" s="29"/>
      <c r="B10" s="11"/>
      <c r="C10" s="11"/>
      <c r="D10" s="30"/>
      <c r="E10" s="30"/>
      <c r="F10" s="14"/>
      <c r="G10" s="30"/>
      <c r="H10" s="30"/>
      <c r="I10" s="30"/>
      <c r="J10" s="30"/>
      <c r="K10" s="14"/>
      <c r="L10" s="14"/>
      <c r="M10" s="14"/>
      <c r="N10" s="14"/>
      <c r="O10" s="14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22.05" hidden="false" customHeight="true" outlineLevel="0" collapsed="false">
      <c r="A11" s="31" t="s">
        <v>10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customFormat="false" ht="22.05" hidden="false" customHeight="true" outlineLevel="0" collapsed="false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 t="s">
        <v>11</v>
      </c>
    </row>
    <row r="13" customFormat="false" ht="24" hidden="false" customHeight="true" outlineLevel="0" collapsed="false">
      <c r="A13" s="34" t="s">
        <v>12</v>
      </c>
      <c r="B13" s="34"/>
      <c r="C13" s="34"/>
      <c r="D13" s="34"/>
      <c r="E13" s="34"/>
      <c r="F13" s="34"/>
      <c r="G13" s="35" t="s">
        <v>13</v>
      </c>
      <c r="H13" s="35"/>
      <c r="I13" s="35"/>
      <c r="J13" s="35"/>
      <c r="K13" s="35"/>
      <c r="L13" s="35"/>
      <c r="M13" s="35"/>
      <c r="N13" s="35"/>
      <c r="O13" s="35"/>
      <c r="P13" s="33"/>
      <c r="Q13" s="36" t="s">
        <v>14</v>
      </c>
    </row>
    <row r="14" customFormat="false" ht="24" hidden="false" customHeight="true" outlineLevel="0" collapsed="false">
      <c r="A14" s="35" t="s">
        <v>15</v>
      </c>
      <c r="B14" s="37" t="s">
        <v>16</v>
      </c>
      <c r="C14" s="38" t="s">
        <v>17</v>
      </c>
      <c r="D14" s="39" t="s">
        <v>18</v>
      </c>
      <c r="E14" s="39"/>
      <c r="F14" s="39"/>
      <c r="G14" s="38" t="s">
        <v>19</v>
      </c>
      <c r="H14" s="38"/>
      <c r="I14" s="38"/>
      <c r="J14" s="38" t="s">
        <v>20</v>
      </c>
      <c r="K14" s="38"/>
      <c r="L14" s="38"/>
      <c r="M14" s="38" t="s">
        <v>21</v>
      </c>
      <c r="N14" s="38"/>
      <c r="O14" s="38"/>
      <c r="P14" s="33"/>
      <c r="Q14" s="36"/>
      <c r="R14" s="40"/>
      <c r="S14" s="40"/>
      <c r="T14" s="40"/>
      <c r="U14" s="40"/>
      <c r="V14" s="40"/>
      <c r="W14" s="40"/>
      <c r="X14" s="40"/>
      <c r="Y14" s="40"/>
      <c r="Z14" s="40"/>
    </row>
    <row r="15" customFormat="false" ht="22.05" hidden="false" customHeight="false" outlineLevel="0" collapsed="false">
      <c r="A15" s="41" t="s">
        <v>22</v>
      </c>
      <c r="B15" s="38"/>
      <c r="C15" s="42"/>
      <c r="D15" s="43" t="s">
        <v>23</v>
      </c>
      <c r="E15" s="44" t="s">
        <v>24</v>
      </c>
      <c r="F15" s="45" t="s">
        <v>25</v>
      </c>
      <c r="G15" s="43" t="s">
        <v>23</v>
      </c>
      <c r="H15" s="44" t="s">
        <v>24</v>
      </c>
      <c r="I15" s="45" t="s">
        <v>25</v>
      </c>
      <c r="J15" s="43" t="s">
        <v>23</v>
      </c>
      <c r="K15" s="44" t="s">
        <v>24</v>
      </c>
      <c r="L15" s="45" t="s">
        <v>25</v>
      </c>
      <c r="M15" s="43" t="s">
        <v>23</v>
      </c>
      <c r="N15" s="44" t="s">
        <v>24</v>
      </c>
      <c r="O15" s="45" t="s">
        <v>25</v>
      </c>
      <c r="Q15" s="3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18.65" hidden="false" customHeight="false" outlineLevel="0" collapsed="false">
      <c r="A16" s="47" t="s">
        <v>26</v>
      </c>
      <c r="B16" s="48" t="s">
        <v>27</v>
      </c>
      <c r="C16" s="49" t="s">
        <v>28</v>
      </c>
      <c r="D16" s="50" t="n">
        <v>0</v>
      </c>
      <c r="E16" s="50" t="n">
        <v>0</v>
      </c>
      <c r="F16" s="50" t="n">
        <v>0</v>
      </c>
      <c r="G16" s="50" t="n">
        <v>0</v>
      </c>
      <c r="H16" s="50" t="n">
        <v>0</v>
      </c>
      <c r="I16" s="50" t="n">
        <v>0</v>
      </c>
      <c r="J16" s="50" t="n">
        <v>121</v>
      </c>
      <c r="K16" s="50" t="n">
        <v>158</v>
      </c>
      <c r="L16" s="51" t="n">
        <v>279</v>
      </c>
      <c r="M16" s="50" t="n">
        <v>121</v>
      </c>
      <c r="N16" s="50" t="n">
        <v>158</v>
      </c>
      <c r="O16" s="51" t="n">
        <v>279</v>
      </c>
      <c r="P16" s="52" t="n">
        <f aca="false">+(N16-M16)/O16</f>
        <v>0.132616487455197</v>
      </c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18.65" hidden="false" customHeight="false" outlineLevel="0" collapsed="false">
      <c r="A17" s="53" t="s">
        <v>29</v>
      </c>
      <c r="B17" s="54" t="s">
        <v>27</v>
      </c>
      <c r="C17" s="49" t="s">
        <v>28</v>
      </c>
      <c r="D17" s="50" t="n">
        <v>0</v>
      </c>
      <c r="E17" s="50" t="n">
        <v>0</v>
      </c>
      <c r="F17" s="50" t="n">
        <f aca="false">SUM(D17:E17)</f>
        <v>0</v>
      </c>
      <c r="G17" s="50" t="n">
        <v>0</v>
      </c>
      <c r="H17" s="50" t="n">
        <v>0</v>
      </c>
      <c r="I17" s="50" t="n">
        <v>0</v>
      </c>
      <c r="J17" s="50" t="n">
        <v>50</v>
      </c>
      <c r="K17" s="50" t="n">
        <v>82</v>
      </c>
      <c r="L17" s="51" t="n">
        <v>132</v>
      </c>
      <c r="M17" s="50" t="n">
        <v>50</v>
      </c>
      <c r="N17" s="50" t="n">
        <v>82</v>
      </c>
      <c r="O17" s="51" t="n">
        <v>132</v>
      </c>
      <c r="P17" s="52" t="n">
        <f aca="false">+(N17-M17)/O17</f>
        <v>0.242424242424242</v>
      </c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18.65" hidden="false" customHeight="false" outlineLevel="0" collapsed="false">
      <c r="A18" s="53" t="s">
        <v>30</v>
      </c>
      <c r="B18" s="54" t="s">
        <v>27</v>
      </c>
      <c r="C18" s="49" t="s">
        <v>28</v>
      </c>
      <c r="D18" s="50" t="n">
        <v>0</v>
      </c>
      <c r="E18" s="50" t="n">
        <v>0</v>
      </c>
      <c r="F18" s="50" t="n">
        <f aca="false">SUM(D18:E18)</f>
        <v>0</v>
      </c>
      <c r="G18" s="50" t="n">
        <v>0</v>
      </c>
      <c r="H18" s="50" t="n">
        <v>0</v>
      </c>
      <c r="I18" s="50" t="n">
        <v>0</v>
      </c>
      <c r="J18" s="50" t="n">
        <v>104</v>
      </c>
      <c r="K18" s="50" t="n">
        <v>167</v>
      </c>
      <c r="L18" s="51" t="n">
        <v>271</v>
      </c>
      <c r="M18" s="50" t="n">
        <v>104</v>
      </c>
      <c r="N18" s="50" t="n">
        <v>167</v>
      </c>
      <c r="O18" s="51" t="n">
        <v>271</v>
      </c>
      <c r="P18" s="52" t="n">
        <f aca="false">+(N18-M18)/O18</f>
        <v>0.232472324723247</v>
      </c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8.65" hidden="false" customHeight="false" outlineLevel="0" collapsed="false">
      <c r="A19" s="55" t="s">
        <v>31</v>
      </c>
      <c r="B19" s="56" t="s">
        <v>27</v>
      </c>
      <c r="C19" s="57" t="s">
        <v>28</v>
      </c>
      <c r="D19" s="58" t="n">
        <v>0</v>
      </c>
      <c r="E19" s="58" t="n">
        <v>0</v>
      </c>
      <c r="F19" s="58" t="n">
        <f aca="false">SUM(D19:E19)</f>
        <v>0</v>
      </c>
      <c r="G19" s="58" t="n">
        <v>0</v>
      </c>
      <c r="H19" s="58" t="n">
        <v>0</v>
      </c>
      <c r="I19" s="58" t="n">
        <v>0</v>
      </c>
      <c r="J19" s="58" t="n">
        <v>98</v>
      </c>
      <c r="K19" s="58" t="n">
        <v>47</v>
      </c>
      <c r="L19" s="59" t="n">
        <v>145</v>
      </c>
      <c r="M19" s="58" t="n">
        <v>98</v>
      </c>
      <c r="N19" s="58" t="n">
        <v>47</v>
      </c>
      <c r="O19" s="59" t="n">
        <v>145</v>
      </c>
      <c r="P19" s="60" t="n">
        <f aca="false">+(N19-M19)/O19</f>
        <v>-0.351724137931034</v>
      </c>
      <c r="Q19" s="61" t="n">
        <v>1</v>
      </c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18.65" hidden="false" customHeight="false" outlineLevel="0" collapsed="false">
      <c r="A20" s="53" t="s">
        <v>32</v>
      </c>
      <c r="B20" s="54" t="s">
        <v>33</v>
      </c>
      <c r="C20" s="49" t="s">
        <v>28</v>
      </c>
      <c r="D20" s="50" t="n">
        <v>0</v>
      </c>
      <c r="E20" s="50" t="n">
        <v>0</v>
      </c>
      <c r="F20" s="50" t="n">
        <f aca="false">SUM(D20:E20)</f>
        <v>0</v>
      </c>
      <c r="G20" s="50" t="n">
        <v>0</v>
      </c>
      <c r="H20" s="50" t="n">
        <v>0</v>
      </c>
      <c r="I20" s="50" t="n">
        <v>0</v>
      </c>
      <c r="J20" s="50" t="n">
        <v>79</v>
      </c>
      <c r="K20" s="50" t="n">
        <v>122</v>
      </c>
      <c r="L20" s="51" t="n">
        <v>201</v>
      </c>
      <c r="M20" s="50" t="n">
        <v>79</v>
      </c>
      <c r="N20" s="50" t="n">
        <v>122</v>
      </c>
      <c r="O20" s="51" t="n">
        <v>201</v>
      </c>
      <c r="P20" s="52" t="n">
        <f aca="false">+(N20-M20)/O20</f>
        <v>0.213930348258706</v>
      </c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15.75" hidden="false" customHeight="true" outlineLevel="0" collapsed="false">
      <c r="A21" s="53" t="s">
        <v>30</v>
      </c>
      <c r="B21" s="48" t="s">
        <v>33</v>
      </c>
      <c r="C21" s="49" t="s">
        <v>28</v>
      </c>
      <c r="D21" s="50" t="n">
        <v>0</v>
      </c>
      <c r="E21" s="50" t="n">
        <v>0</v>
      </c>
      <c r="F21" s="50" t="n">
        <f aca="false">SUM(D21:E21)</f>
        <v>0</v>
      </c>
      <c r="G21" s="50" t="n">
        <v>0</v>
      </c>
      <c r="H21" s="50" t="n">
        <v>0</v>
      </c>
      <c r="I21" s="50" t="n">
        <v>0</v>
      </c>
      <c r="J21" s="50" t="n">
        <v>33</v>
      </c>
      <c r="K21" s="50" t="n">
        <v>58</v>
      </c>
      <c r="L21" s="51" t="n">
        <v>91</v>
      </c>
      <c r="M21" s="50" t="n">
        <v>33</v>
      </c>
      <c r="N21" s="50" t="n">
        <v>58</v>
      </c>
      <c r="O21" s="51" t="n">
        <v>91</v>
      </c>
      <c r="P21" s="52" t="n">
        <f aca="false">+(N21-M21)/O21</f>
        <v>0.274725274725275</v>
      </c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15.75" hidden="false" customHeight="true" outlineLevel="0" collapsed="false">
      <c r="A22" s="53" t="s">
        <v>34</v>
      </c>
      <c r="B22" s="54" t="s">
        <v>33</v>
      </c>
      <c r="C22" s="49" t="s">
        <v>28</v>
      </c>
      <c r="D22" s="50" t="n">
        <v>0</v>
      </c>
      <c r="E22" s="50" t="n">
        <v>0</v>
      </c>
      <c r="F22" s="50" t="n">
        <f aca="false">SUM(D22:E22)</f>
        <v>0</v>
      </c>
      <c r="G22" s="50" t="n">
        <v>0</v>
      </c>
      <c r="H22" s="50" t="n">
        <v>0</v>
      </c>
      <c r="I22" s="50" t="n">
        <v>0</v>
      </c>
      <c r="J22" s="50" t="n">
        <v>77</v>
      </c>
      <c r="K22" s="50" t="n">
        <v>137</v>
      </c>
      <c r="L22" s="51" t="n">
        <v>214</v>
      </c>
      <c r="M22" s="50" t="n">
        <v>77</v>
      </c>
      <c r="N22" s="50" t="n">
        <v>137</v>
      </c>
      <c r="O22" s="51" t="n">
        <v>214</v>
      </c>
      <c r="P22" s="52" t="n">
        <f aca="false">+(N22-M22)/O22</f>
        <v>0.280373831775701</v>
      </c>
      <c r="R22" s="46"/>
      <c r="S22" s="46"/>
      <c r="T22" s="46"/>
      <c r="U22" s="46"/>
      <c r="V22" s="46"/>
      <c r="W22" s="46"/>
      <c r="X22" s="46"/>
      <c r="Y22" s="46"/>
      <c r="Z22" s="46"/>
    </row>
    <row r="23" customFormat="false" ht="15.75" hidden="false" customHeight="true" outlineLevel="0" collapsed="false">
      <c r="A23" s="53" t="s">
        <v>32</v>
      </c>
      <c r="B23" s="54" t="s">
        <v>35</v>
      </c>
      <c r="C23" s="49" t="s">
        <v>28</v>
      </c>
      <c r="D23" s="50" t="n">
        <v>0</v>
      </c>
      <c r="E23" s="50" t="n">
        <v>0</v>
      </c>
      <c r="F23" s="50" t="n">
        <f aca="false">SUM(D23:E23)</f>
        <v>0</v>
      </c>
      <c r="G23" s="50" t="n">
        <v>0</v>
      </c>
      <c r="H23" s="50" t="n">
        <v>0</v>
      </c>
      <c r="I23" s="50" t="n">
        <v>0</v>
      </c>
      <c r="J23" s="50" t="n">
        <v>106</v>
      </c>
      <c r="K23" s="50" t="n">
        <v>139</v>
      </c>
      <c r="L23" s="51" t="n">
        <v>245</v>
      </c>
      <c r="M23" s="50" t="n">
        <v>106</v>
      </c>
      <c r="N23" s="50" t="n">
        <v>139</v>
      </c>
      <c r="O23" s="51" t="n">
        <v>245</v>
      </c>
      <c r="P23" s="52" t="n">
        <f aca="false">+(N23-M23)/O23</f>
        <v>0.13469387755102</v>
      </c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5.75" hidden="false" customHeight="true" outlineLevel="0" collapsed="false">
      <c r="A24" s="53" t="s">
        <v>30</v>
      </c>
      <c r="B24" s="54" t="s">
        <v>35</v>
      </c>
      <c r="C24" s="49" t="s">
        <v>28</v>
      </c>
      <c r="D24" s="50" t="n">
        <v>0</v>
      </c>
      <c r="E24" s="50" t="n">
        <v>0</v>
      </c>
      <c r="F24" s="50" t="n">
        <f aca="false">SUM(D24:E24)</f>
        <v>0</v>
      </c>
      <c r="G24" s="50" t="n">
        <v>0</v>
      </c>
      <c r="H24" s="50" t="n">
        <v>0</v>
      </c>
      <c r="I24" s="50" t="n">
        <v>0</v>
      </c>
      <c r="J24" s="50" t="n">
        <v>31</v>
      </c>
      <c r="K24" s="50" t="n">
        <v>33</v>
      </c>
      <c r="L24" s="51" t="n">
        <v>64</v>
      </c>
      <c r="M24" s="50" t="n">
        <v>31</v>
      </c>
      <c r="N24" s="50" t="n">
        <v>33</v>
      </c>
      <c r="O24" s="51" t="n">
        <v>64</v>
      </c>
      <c r="P24" s="52" t="n">
        <f aca="false">+(N24-M24)/O24</f>
        <v>0.03125</v>
      </c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15.75" hidden="false" customHeight="true" outlineLevel="0" collapsed="false">
      <c r="A25" s="53" t="s">
        <v>32</v>
      </c>
      <c r="B25" s="54" t="s">
        <v>36</v>
      </c>
      <c r="C25" s="49" t="s">
        <v>28</v>
      </c>
      <c r="D25" s="50" t="n">
        <v>0</v>
      </c>
      <c r="E25" s="50" t="n">
        <v>0</v>
      </c>
      <c r="F25" s="50" t="n">
        <f aca="false">SUM(D25:E25)</f>
        <v>0</v>
      </c>
      <c r="G25" s="50" t="n">
        <v>0</v>
      </c>
      <c r="H25" s="50" t="n">
        <v>0</v>
      </c>
      <c r="I25" s="50" t="n">
        <v>0</v>
      </c>
      <c r="J25" s="50" t="n">
        <v>47</v>
      </c>
      <c r="K25" s="50" t="n">
        <v>79</v>
      </c>
      <c r="L25" s="51" t="n">
        <v>126</v>
      </c>
      <c r="M25" s="50" t="n">
        <v>47</v>
      </c>
      <c r="N25" s="50" t="n">
        <v>79</v>
      </c>
      <c r="O25" s="51" t="n">
        <v>126</v>
      </c>
      <c r="P25" s="52" t="n">
        <f aca="false">+(N25-M25)/O25</f>
        <v>0.253968253968254</v>
      </c>
      <c r="R25" s="46"/>
      <c r="S25" s="46"/>
      <c r="T25" s="46"/>
      <c r="U25" s="46"/>
      <c r="V25" s="46"/>
      <c r="W25" s="46"/>
      <c r="X25" s="46"/>
      <c r="Y25" s="46"/>
      <c r="Z25" s="46"/>
    </row>
    <row r="26" customFormat="false" ht="15.75" hidden="false" customHeight="true" outlineLevel="0" collapsed="false">
      <c r="A26" s="53" t="s">
        <v>31</v>
      </c>
      <c r="B26" s="48" t="s">
        <v>36</v>
      </c>
      <c r="C26" s="49" t="s">
        <v>28</v>
      </c>
      <c r="D26" s="50" t="n">
        <v>0</v>
      </c>
      <c r="E26" s="50" t="n">
        <v>0</v>
      </c>
      <c r="F26" s="50" t="n">
        <f aca="false">SUM(D26:E26)</f>
        <v>0</v>
      </c>
      <c r="G26" s="50" t="n">
        <v>0</v>
      </c>
      <c r="H26" s="50" t="n">
        <v>0</v>
      </c>
      <c r="I26" s="50" t="n">
        <v>0</v>
      </c>
      <c r="J26" s="50" t="n">
        <v>44</v>
      </c>
      <c r="K26" s="50" t="n">
        <v>44</v>
      </c>
      <c r="L26" s="51" t="n">
        <v>88</v>
      </c>
      <c r="M26" s="50" t="n">
        <v>44</v>
      </c>
      <c r="N26" s="50" t="n">
        <v>44</v>
      </c>
      <c r="O26" s="51" t="n">
        <v>88</v>
      </c>
      <c r="P26" s="52" t="n">
        <f aca="false">+(N26-M26)/O26</f>
        <v>0</v>
      </c>
      <c r="R26" s="46"/>
      <c r="S26" s="46"/>
      <c r="T26" s="46"/>
      <c r="U26" s="46"/>
      <c r="V26" s="46"/>
      <c r="W26" s="46"/>
      <c r="X26" s="46"/>
      <c r="Y26" s="46"/>
      <c r="Z26" s="46"/>
    </row>
    <row r="27" customFormat="false" ht="15.75" hidden="false" customHeight="true" outlineLevel="0" collapsed="false">
      <c r="A27" s="53" t="s">
        <v>37</v>
      </c>
      <c r="B27" s="54" t="s">
        <v>38</v>
      </c>
      <c r="C27" s="49" t="s">
        <v>28</v>
      </c>
      <c r="D27" s="50" t="n">
        <v>0</v>
      </c>
      <c r="E27" s="50" t="n">
        <v>0</v>
      </c>
      <c r="F27" s="50" t="n">
        <f aca="false">SUM(D27:E27)</f>
        <v>0</v>
      </c>
      <c r="G27" s="50" t="n">
        <v>0</v>
      </c>
      <c r="H27" s="50" t="n">
        <v>0</v>
      </c>
      <c r="I27" s="50" t="n">
        <v>0</v>
      </c>
      <c r="J27" s="50" t="n">
        <v>46</v>
      </c>
      <c r="K27" s="50" t="n">
        <v>192</v>
      </c>
      <c r="L27" s="51" t="n">
        <v>238</v>
      </c>
      <c r="M27" s="50" t="n">
        <v>46</v>
      </c>
      <c r="N27" s="50" t="n">
        <v>192</v>
      </c>
      <c r="O27" s="51" t="n">
        <v>238</v>
      </c>
      <c r="P27" s="52" t="n">
        <f aca="false">+(N27-M27)/O27</f>
        <v>0.613445378151261</v>
      </c>
      <c r="R27" s="46"/>
      <c r="S27" s="46"/>
      <c r="T27" s="46"/>
      <c r="U27" s="46"/>
      <c r="V27" s="46"/>
      <c r="W27" s="46"/>
      <c r="X27" s="46"/>
      <c r="Y27" s="46"/>
      <c r="Z27" s="46"/>
    </row>
    <row r="28" customFormat="false" ht="15.75" hidden="false" customHeight="true" outlineLevel="0" collapsed="false">
      <c r="A28" s="53" t="s">
        <v>39</v>
      </c>
      <c r="B28" s="54" t="s">
        <v>38</v>
      </c>
      <c r="C28" s="49" t="s">
        <v>28</v>
      </c>
      <c r="D28" s="50"/>
      <c r="E28" s="50"/>
      <c r="F28" s="50"/>
      <c r="G28" s="50"/>
      <c r="H28" s="50"/>
      <c r="I28" s="50"/>
      <c r="J28" s="50" t="n">
        <v>16</v>
      </c>
      <c r="K28" s="50" t="n">
        <v>54</v>
      </c>
      <c r="L28" s="51" t="n">
        <v>70</v>
      </c>
      <c r="M28" s="50" t="n">
        <v>16</v>
      </c>
      <c r="N28" s="50" t="n">
        <v>54</v>
      </c>
      <c r="O28" s="51" t="n">
        <v>70</v>
      </c>
      <c r="P28" s="52" t="n">
        <f aca="false">+(N28-M28)/O28</f>
        <v>0.542857142857143</v>
      </c>
      <c r="R28" s="46"/>
      <c r="S28" s="46"/>
      <c r="T28" s="46"/>
      <c r="U28" s="46"/>
      <c r="V28" s="46"/>
      <c r="W28" s="46"/>
      <c r="X28" s="46"/>
      <c r="Y28" s="46"/>
      <c r="Z28" s="46"/>
    </row>
    <row r="29" customFormat="false" ht="15.75" hidden="false" customHeight="true" outlineLevel="0" collapsed="false">
      <c r="A29" s="53" t="s">
        <v>40</v>
      </c>
      <c r="B29" s="54" t="s">
        <v>41</v>
      </c>
      <c r="C29" s="49" t="s">
        <v>28</v>
      </c>
      <c r="D29" s="50" t="n">
        <v>0</v>
      </c>
      <c r="E29" s="50" t="n">
        <v>0</v>
      </c>
      <c r="F29" s="50" t="n">
        <f aca="false">SUM(D29:E29)</f>
        <v>0</v>
      </c>
      <c r="G29" s="50" t="n">
        <v>0</v>
      </c>
      <c r="H29" s="50" t="n">
        <v>0</v>
      </c>
      <c r="I29" s="50" t="n">
        <v>0</v>
      </c>
      <c r="J29" s="50" t="n">
        <v>84</v>
      </c>
      <c r="K29" s="50" t="n">
        <v>154</v>
      </c>
      <c r="L29" s="51" t="n">
        <v>238</v>
      </c>
      <c r="M29" s="50" t="n">
        <v>84</v>
      </c>
      <c r="N29" s="50" t="n">
        <v>154</v>
      </c>
      <c r="O29" s="51" t="n">
        <v>238</v>
      </c>
      <c r="P29" s="52" t="n">
        <f aca="false">+(N29-M29)/O29</f>
        <v>0.294117647058824</v>
      </c>
      <c r="R29" s="46"/>
      <c r="S29" s="46"/>
      <c r="T29" s="46"/>
      <c r="U29" s="46"/>
      <c r="V29" s="46"/>
      <c r="W29" s="46"/>
      <c r="X29" s="46"/>
      <c r="Y29" s="46"/>
      <c r="Z29" s="46"/>
    </row>
    <row r="30" customFormat="false" ht="15.75" hidden="false" customHeight="true" outlineLevel="0" collapsed="false">
      <c r="A30" s="55" t="s">
        <v>31</v>
      </c>
      <c r="B30" s="62" t="s">
        <v>41</v>
      </c>
      <c r="C30" s="57" t="s">
        <v>28</v>
      </c>
      <c r="D30" s="58" t="n">
        <v>0</v>
      </c>
      <c r="E30" s="58" t="n">
        <v>0</v>
      </c>
      <c r="F30" s="58" t="n">
        <f aca="false">SUM(D30:E30)</f>
        <v>0</v>
      </c>
      <c r="G30" s="58" t="n">
        <v>0</v>
      </c>
      <c r="H30" s="58" t="n">
        <v>0</v>
      </c>
      <c r="I30" s="58" t="n">
        <v>0</v>
      </c>
      <c r="J30" s="58" t="n">
        <v>65</v>
      </c>
      <c r="K30" s="58" t="n">
        <v>31</v>
      </c>
      <c r="L30" s="59" t="n">
        <v>96</v>
      </c>
      <c r="M30" s="58" t="n">
        <v>65</v>
      </c>
      <c r="N30" s="58" t="n">
        <v>31</v>
      </c>
      <c r="O30" s="59" t="n">
        <v>96</v>
      </c>
      <c r="P30" s="60" t="n">
        <f aca="false">+(N30-M30)/O30</f>
        <v>-0.354166666666667</v>
      </c>
      <c r="Q30" s="61" t="n">
        <v>1</v>
      </c>
      <c r="R30" s="46"/>
      <c r="S30" s="46"/>
      <c r="T30" s="46"/>
      <c r="U30" s="46"/>
      <c r="V30" s="46"/>
      <c r="W30" s="46"/>
      <c r="X30" s="46"/>
      <c r="Y30" s="46"/>
      <c r="Z30" s="46"/>
    </row>
    <row r="31" customFormat="false" ht="15.75" hidden="false" customHeight="true" outlineLevel="0" collapsed="false">
      <c r="A31" s="53" t="s">
        <v>32</v>
      </c>
      <c r="B31" s="63" t="s">
        <v>42</v>
      </c>
      <c r="C31" s="49" t="s">
        <v>28</v>
      </c>
      <c r="D31" s="50" t="n">
        <v>0</v>
      </c>
      <c r="E31" s="50" t="n">
        <v>0</v>
      </c>
      <c r="F31" s="50" t="n">
        <f aca="false">SUM(D31:E31)</f>
        <v>0</v>
      </c>
      <c r="G31" s="50" t="n">
        <v>0</v>
      </c>
      <c r="H31" s="50" t="n">
        <v>0</v>
      </c>
      <c r="I31" s="50" t="n">
        <v>0</v>
      </c>
      <c r="J31" s="50" t="n">
        <v>95</v>
      </c>
      <c r="K31" s="50" t="n">
        <v>172</v>
      </c>
      <c r="L31" s="51" t="n">
        <v>267</v>
      </c>
      <c r="M31" s="50" t="n">
        <v>95</v>
      </c>
      <c r="N31" s="50" t="n">
        <v>172</v>
      </c>
      <c r="O31" s="51" t="n">
        <v>267</v>
      </c>
      <c r="P31" s="52" t="n">
        <f aca="false">+(N31-M31)/O31</f>
        <v>0.288389513108614</v>
      </c>
      <c r="R31" s="46"/>
      <c r="S31" s="46"/>
      <c r="T31" s="46"/>
      <c r="U31" s="46"/>
      <c r="V31" s="46"/>
      <c r="W31" s="46"/>
      <c r="X31" s="46"/>
      <c r="Y31" s="46"/>
      <c r="Z31" s="46"/>
    </row>
    <row r="32" customFormat="false" ht="15.75" hidden="false" customHeight="true" outlineLevel="0" collapsed="false">
      <c r="A32" s="53" t="s">
        <v>30</v>
      </c>
      <c r="B32" s="63" t="s">
        <v>42</v>
      </c>
      <c r="C32" s="49" t="s">
        <v>28</v>
      </c>
      <c r="D32" s="50" t="n">
        <v>0</v>
      </c>
      <c r="E32" s="50" t="n">
        <v>0</v>
      </c>
      <c r="F32" s="50" t="n">
        <f aca="false">SUM(D32:E32)</f>
        <v>0</v>
      </c>
      <c r="G32" s="50" t="n">
        <v>0</v>
      </c>
      <c r="H32" s="50" t="n">
        <v>0</v>
      </c>
      <c r="I32" s="50" t="n">
        <v>0</v>
      </c>
      <c r="J32" s="50" t="n">
        <v>58</v>
      </c>
      <c r="K32" s="50" t="n">
        <v>77</v>
      </c>
      <c r="L32" s="51" t="n">
        <v>135</v>
      </c>
      <c r="M32" s="50" t="n">
        <v>58</v>
      </c>
      <c r="N32" s="50" t="n">
        <v>77</v>
      </c>
      <c r="O32" s="51" t="n">
        <v>135</v>
      </c>
      <c r="P32" s="52" t="n">
        <f aca="false">+(N32-M32)/O32</f>
        <v>0.140740740740741</v>
      </c>
      <c r="R32" s="46"/>
      <c r="S32" s="46"/>
      <c r="T32" s="46"/>
      <c r="U32" s="46"/>
      <c r="V32" s="46"/>
      <c r="W32" s="46"/>
      <c r="X32" s="46"/>
      <c r="Y32" s="46"/>
      <c r="Z32" s="46"/>
    </row>
    <row r="33" customFormat="false" ht="15.75" hidden="false" customHeight="true" outlineLevel="0" collapsed="false">
      <c r="A33" s="53" t="s">
        <v>30</v>
      </c>
      <c r="B33" s="63" t="s">
        <v>43</v>
      </c>
      <c r="C33" s="49" t="s">
        <v>28</v>
      </c>
      <c r="D33" s="50" t="n">
        <v>0</v>
      </c>
      <c r="E33" s="50" t="n">
        <v>0</v>
      </c>
      <c r="F33" s="50" t="n">
        <f aca="false">SUM(D33:E33)</f>
        <v>0</v>
      </c>
      <c r="G33" s="50" t="n">
        <v>0</v>
      </c>
      <c r="H33" s="50" t="n">
        <v>0</v>
      </c>
      <c r="I33" s="50" t="n">
        <v>0</v>
      </c>
      <c r="J33" s="50" t="n">
        <v>46</v>
      </c>
      <c r="K33" s="50" t="n">
        <v>58</v>
      </c>
      <c r="L33" s="51" t="n">
        <v>104</v>
      </c>
      <c r="M33" s="50" t="n">
        <v>46</v>
      </c>
      <c r="N33" s="50" t="n">
        <v>58</v>
      </c>
      <c r="O33" s="51" t="n">
        <v>104</v>
      </c>
      <c r="P33" s="52" t="n">
        <f aca="false">+(N33-M33)/O33</f>
        <v>0.115384615384615</v>
      </c>
      <c r="R33" s="46"/>
      <c r="S33" s="46"/>
      <c r="T33" s="46"/>
      <c r="U33" s="46"/>
      <c r="V33" s="46"/>
      <c r="W33" s="46"/>
      <c r="X33" s="46"/>
      <c r="Y33" s="46"/>
      <c r="Z33" s="46"/>
    </row>
    <row r="34" customFormat="false" ht="15.75" hidden="false" customHeight="true" outlineLevel="0" collapsed="false">
      <c r="A34" s="53" t="s">
        <v>44</v>
      </c>
      <c r="B34" s="54" t="s">
        <v>45</v>
      </c>
      <c r="C34" s="49" t="s">
        <v>28</v>
      </c>
      <c r="D34" s="50" t="n">
        <v>0</v>
      </c>
      <c r="E34" s="50" t="n">
        <v>0</v>
      </c>
      <c r="F34" s="50" t="n">
        <f aca="false">SUM(D34:E34)</f>
        <v>0</v>
      </c>
      <c r="G34" s="50" t="n">
        <v>0</v>
      </c>
      <c r="H34" s="50" t="n">
        <v>0</v>
      </c>
      <c r="I34" s="50" t="n">
        <v>0</v>
      </c>
      <c r="J34" s="50" t="n">
        <v>11</v>
      </c>
      <c r="K34" s="50" t="n">
        <v>12</v>
      </c>
      <c r="L34" s="51" t="n">
        <v>23</v>
      </c>
      <c r="M34" s="50" t="n">
        <v>11</v>
      </c>
      <c r="N34" s="50" t="n">
        <v>12</v>
      </c>
      <c r="O34" s="51" t="n">
        <v>23</v>
      </c>
      <c r="P34" s="52" t="n">
        <f aca="false">+(N34-M34)/O34</f>
        <v>0.0434782608695652</v>
      </c>
      <c r="R34" s="46"/>
      <c r="S34" s="46"/>
      <c r="T34" s="46"/>
      <c r="U34" s="46"/>
      <c r="V34" s="46"/>
      <c r="W34" s="46"/>
      <c r="X34" s="46"/>
      <c r="Y34" s="46"/>
      <c r="Z34" s="46"/>
    </row>
    <row r="35" customFormat="false" ht="15.75" hidden="false" customHeight="true" outlineLevel="0" collapsed="false">
      <c r="A35" s="64" t="s">
        <v>46</v>
      </c>
      <c r="B35" s="64"/>
      <c r="C35" s="64"/>
      <c r="D35" s="65" t="n">
        <f aca="false">SUM(D16:D34)</f>
        <v>0</v>
      </c>
      <c r="E35" s="65" t="n">
        <f aca="false">SUM(E16:E34)</f>
        <v>0</v>
      </c>
      <c r="F35" s="65" t="n">
        <f aca="false">SUM(F16:F34)</f>
        <v>0</v>
      </c>
      <c r="G35" s="65" t="n">
        <f aca="false">SUM(G16:G34)</f>
        <v>0</v>
      </c>
      <c r="H35" s="65" t="n">
        <f aca="false">SUM(H16:H34)</f>
        <v>0</v>
      </c>
      <c r="I35" s="65" t="n">
        <f aca="false">SUM(I16:I34)</f>
        <v>0</v>
      </c>
      <c r="J35" s="65" t="n">
        <f aca="false">SUM(J16:J34)</f>
        <v>1211</v>
      </c>
      <c r="K35" s="65" t="n">
        <f aca="false">SUM(K16:K34)</f>
        <v>1816</v>
      </c>
      <c r="L35" s="65" t="n">
        <f aca="false">SUM(L16:L34)</f>
        <v>3027</v>
      </c>
      <c r="M35" s="65" t="n">
        <f aca="false">SUM(M16:M34)</f>
        <v>1211</v>
      </c>
      <c r="N35" s="65" t="n">
        <f aca="false">SUM(N16:N34)</f>
        <v>1816</v>
      </c>
      <c r="O35" s="66" t="n">
        <f aca="false">SUM(O16:O34)</f>
        <v>3027</v>
      </c>
      <c r="P35" s="52"/>
      <c r="R35" s="46"/>
      <c r="S35" s="46"/>
      <c r="T35" s="46"/>
      <c r="U35" s="46"/>
      <c r="V35" s="46"/>
      <c r="W35" s="46"/>
      <c r="X35" s="46"/>
      <c r="Y35" s="46"/>
      <c r="Z35" s="46"/>
    </row>
    <row r="36" customFormat="false" ht="27" hidden="false" customHeight="true" outlineLevel="0" collapsed="false">
      <c r="A36" s="67"/>
      <c r="B36" s="67"/>
      <c r="C36" s="67"/>
      <c r="D36" s="2"/>
      <c r="E36" s="2"/>
      <c r="F36" s="2"/>
      <c r="G36" s="2"/>
      <c r="H36" s="2"/>
      <c r="I36" s="2"/>
      <c r="J36" s="2" t="n">
        <v>1211</v>
      </c>
      <c r="K36" s="2" t="n">
        <v>1816</v>
      </c>
      <c r="L36" s="2" t="n">
        <v>3027</v>
      </c>
      <c r="M36" s="2" t="n">
        <v>1211</v>
      </c>
      <c r="N36" s="2" t="n">
        <v>1816</v>
      </c>
      <c r="O36" s="2" t="n">
        <v>3027</v>
      </c>
      <c r="P36" s="52"/>
      <c r="R36" s="46"/>
      <c r="S36" s="46"/>
      <c r="T36" s="46"/>
      <c r="U36" s="46"/>
      <c r="V36" s="46"/>
      <c r="W36" s="46"/>
      <c r="X36" s="46"/>
      <c r="Y36" s="46"/>
      <c r="Z36" s="46"/>
    </row>
    <row r="37" customFormat="false" ht="15.75" hidden="false" customHeight="true" outlineLevel="0" collapsed="false">
      <c r="A37" s="68" t="s">
        <v>47</v>
      </c>
      <c r="B37" s="69"/>
      <c r="C37" s="69"/>
      <c r="D37" s="44" t="s">
        <v>23</v>
      </c>
      <c r="E37" s="44" t="s">
        <v>24</v>
      </c>
      <c r="F37" s="44" t="s">
        <v>25</v>
      </c>
      <c r="G37" s="44" t="s">
        <v>23</v>
      </c>
      <c r="H37" s="44" t="s">
        <v>24</v>
      </c>
      <c r="I37" s="44" t="s">
        <v>25</v>
      </c>
      <c r="J37" s="44" t="s">
        <v>23</v>
      </c>
      <c r="K37" s="44" t="s">
        <v>24</v>
      </c>
      <c r="L37" s="44" t="s">
        <v>25</v>
      </c>
      <c r="M37" s="44" t="s">
        <v>23</v>
      </c>
      <c r="N37" s="44" t="s">
        <v>24</v>
      </c>
      <c r="O37" s="45" t="s">
        <v>25</v>
      </c>
      <c r="P37" s="52"/>
      <c r="R37" s="46"/>
      <c r="S37" s="46"/>
      <c r="T37" s="46"/>
      <c r="U37" s="46"/>
      <c r="V37" s="46"/>
      <c r="W37" s="46"/>
      <c r="X37" s="46"/>
      <c r="Y37" s="46"/>
      <c r="Z37" s="46"/>
    </row>
    <row r="38" customFormat="false" ht="15.75" hidden="false" customHeight="true" outlineLevel="0" collapsed="false">
      <c r="A38" s="70"/>
      <c r="B38" s="71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4"/>
      <c r="P38" s="52"/>
      <c r="R38" s="46"/>
      <c r="S38" s="46"/>
      <c r="T38" s="46"/>
      <c r="U38" s="46"/>
      <c r="V38" s="46"/>
      <c r="W38" s="46"/>
      <c r="X38" s="46"/>
      <c r="Y38" s="46"/>
      <c r="Z38" s="46"/>
    </row>
    <row r="39" customFormat="false" ht="15.75" hidden="false" customHeight="true" outlineLevel="0" collapsed="false">
      <c r="A39" s="64" t="s">
        <v>46</v>
      </c>
      <c r="B39" s="64"/>
      <c r="C39" s="64"/>
      <c r="D39" s="44" t="n">
        <v>0</v>
      </c>
      <c r="E39" s="44" t="n">
        <v>0</v>
      </c>
      <c r="F39" s="44" t="n">
        <v>0</v>
      </c>
      <c r="G39" s="44" t="n">
        <f aca="false">G38</f>
        <v>0</v>
      </c>
      <c r="H39" s="44" t="n">
        <f aca="false">H38</f>
        <v>0</v>
      </c>
      <c r="I39" s="44" t="n">
        <f aca="false">I38</f>
        <v>0</v>
      </c>
      <c r="J39" s="44" t="n">
        <f aca="false">J38</f>
        <v>0</v>
      </c>
      <c r="K39" s="44" t="n">
        <f aca="false">K38</f>
        <v>0</v>
      </c>
      <c r="L39" s="44" t="n">
        <f aca="false">L38</f>
        <v>0</v>
      </c>
      <c r="M39" s="44" t="n">
        <f aca="false">M38</f>
        <v>0</v>
      </c>
      <c r="N39" s="44" t="n">
        <f aca="false">N38</f>
        <v>0</v>
      </c>
      <c r="O39" s="45" t="n">
        <f aca="false">O38</f>
        <v>0</v>
      </c>
      <c r="P39" s="52"/>
      <c r="R39" s="46"/>
      <c r="S39" s="46"/>
      <c r="T39" s="46"/>
      <c r="U39" s="46"/>
      <c r="V39" s="46"/>
      <c r="W39" s="46"/>
      <c r="X39" s="46"/>
      <c r="Y39" s="46"/>
      <c r="Z39" s="46"/>
    </row>
    <row r="40" customFormat="false" ht="15.75" hidden="false" customHeight="true" outlineLevel="0" collapsed="false">
      <c r="A40" s="75"/>
      <c r="B40" s="76"/>
      <c r="C40" s="76"/>
      <c r="D40" s="2"/>
      <c r="E40" s="77"/>
      <c r="F40" s="77"/>
      <c r="G40" s="77"/>
      <c r="H40" s="77"/>
      <c r="I40" s="2"/>
      <c r="J40" s="2"/>
      <c r="K40" s="2"/>
      <c r="L40" s="2"/>
      <c r="M40" s="2"/>
      <c r="N40" s="2"/>
      <c r="O40" s="2"/>
      <c r="P40" s="52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15.75" hidden="false" customHeight="true" outlineLevel="0" collapsed="false">
      <c r="A41" s="78" t="s">
        <v>48</v>
      </c>
      <c r="B41" s="69"/>
      <c r="C41" s="69"/>
      <c r="D41" s="44" t="s">
        <v>23</v>
      </c>
      <c r="E41" s="44" t="s">
        <v>24</v>
      </c>
      <c r="F41" s="44" t="s">
        <v>25</v>
      </c>
      <c r="G41" s="44" t="s">
        <v>23</v>
      </c>
      <c r="H41" s="44" t="s">
        <v>24</v>
      </c>
      <c r="I41" s="44" t="s">
        <v>25</v>
      </c>
      <c r="J41" s="44" t="s">
        <v>23</v>
      </c>
      <c r="K41" s="44" t="s">
        <v>24</v>
      </c>
      <c r="L41" s="44" t="s">
        <v>25</v>
      </c>
      <c r="M41" s="44" t="s">
        <v>23</v>
      </c>
      <c r="N41" s="44" t="s">
        <v>24</v>
      </c>
      <c r="O41" s="45" t="s">
        <v>25</v>
      </c>
      <c r="P41" s="52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15.75" hidden="false" customHeight="true" outlineLevel="0" collapsed="false">
      <c r="A42" s="79" t="s">
        <v>49</v>
      </c>
      <c r="B42" s="63" t="s">
        <v>50</v>
      </c>
      <c r="C42" s="49" t="s">
        <v>28</v>
      </c>
      <c r="D42" s="50" t="n">
        <v>0</v>
      </c>
      <c r="E42" s="50" t="n">
        <v>0</v>
      </c>
      <c r="F42" s="50" t="n">
        <f aca="false">SUM(D42:E42)</f>
        <v>0</v>
      </c>
      <c r="G42" s="50" t="n">
        <v>0</v>
      </c>
      <c r="H42" s="50" t="n">
        <v>0</v>
      </c>
      <c r="I42" s="50" t="n">
        <v>0</v>
      </c>
      <c r="J42" s="50" t="n">
        <v>18</v>
      </c>
      <c r="K42" s="50" t="n">
        <v>32</v>
      </c>
      <c r="L42" s="50" t="n">
        <v>50</v>
      </c>
      <c r="M42" s="50" t="n">
        <v>18</v>
      </c>
      <c r="N42" s="50" t="n">
        <v>32</v>
      </c>
      <c r="O42" s="51" t="n">
        <v>50</v>
      </c>
      <c r="P42" s="52" t="n">
        <f aca="false">+(N42-M42)/O42</f>
        <v>0.28</v>
      </c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15.75" hidden="false" customHeight="true" outlineLevel="0" collapsed="false">
      <c r="A43" s="80" t="s">
        <v>51</v>
      </c>
      <c r="B43" s="63" t="s">
        <v>50</v>
      </c>
      <c r="C43" s="49" t="s">
        <v>28</v>
      </c>
      <c r="D43" s="50" t="n">
        <v>0</v>
      </c>
      <c r="E43" s="50" t="n">
        <v>0</v>
      </c>
      <c r="F43" s="50" t="n">
        <f aca="false">SUM(D43:E43)</f>
        <v>0</v>
      </c>
      <c r="G43" s="50" t="n">
        <v>0</v>
      </c>
      <c r="H43" s="50" t="n">
        <v>0</v>
      </c>
      <c r="I43" s="50" t="n">
        <v>0</v>
      </c>
      <c r="J43" s="50" t="n">
        <v>28</v>
      </c>
      <c r="K43" s="50" t="n">
        <v>29</v>
      </c>
      <c r="L43" s="50" t="n">
        <v>57</v>
      </c>
      <c r="M43" s="50" t="n">
        <v>28</v>
      </c>
      <c r="N43" s="50" t="n">
        <v>29</v>
      </c>
      <c r="O43" s="51" t="n">
        <v>57</v>
      </c>
      <c r="P43" s="52" t="n">
        <f aca="false">+(N43-M43)/O43</f>
        <v>0.0175438596491228</v>
      </c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15.75" hidden="false" customHeight="true" outlineLevel="0" collapsed="false">
      <c r="A44" s="81" t="s">
        <v>52</v>
      </c>
      <c r="B44" s="82" t="s">
        <v>50</v>
      </c>
      <c r="C44" s="57" t="s">
        <v>28</v>
      </c>
      <c r="D44" s="58" t="n">
        <v>0</v>
      </c>
      <c r="E44" s="58" t="n">
        <v>0</v>
      </c>
      <c r="F44" s="58" t="n">
        <f aca="false">SUM(D44:E44)</f>
        <v>0</v>
      </c>
      <c r="G44" s="58" t="n">
        <v>0</v>
      </c>
      <c r="H44" s="58" t="n">
        <v>0</v>
      </c>
      <c r="I44" s="58" t="n">
        <v>0</v>
      </c>
      <c r="J44" s="58" t="n">
        <v>34</v>
      </c>
      <c r="K44" s="58" t="n">
        <v>29</v>
      </c>
      <c r="L44" s="58" t="n">
        <v>63</v>
      </c>
      <c r="M44" s="58" t="n">
        <v>34</v>
      </c>
      <c r="N44" s="58" t="n">
        <v>29</v>
      </c>
      <c r="O44" s="59" t="n">
        <v>63</v>
      </c>
      <c r="P44" s="60" t="n">
        <f aca="false">+(N44-M44)/O44</f>
        <v>-0.0793650793650794</v>
      </c>
      <c r="Q44" s="61" t="n">
        <v>1</v>
      </c>
      <c r="R44" s="81" t="s">
        <v>52</v>
      </c>
      <c r="S44" s="46"/>
      <c r="T44" s="46"/>
      <c r="U44" s="46"/>
      <c r="V44" s="46"/>
      <c r="W44" s="46"/>
      <c r="X44" s="46"/>
      <c r="Y44" s="46"/>
      <c r="Z44" s="46"/>
    </row>
    <row r="45" customFormat="false" ht="15.75" hidden="false" customHeight="true" outlineLevel="0" collapsed="false">
      <c r="A45" s="80" t="s">
        <v>53</v>
      </c>
      <c r="B45" s="71" t="s">
        <v>54</v>
      </c>
      <c r="C45" s="49" t="s">
        <v>28</v>
      </c>
      <c r="D45" s="50" t="n">
        <v>0</v>
      </c>
      <c r="E45" s="50" t="n">
        <v>0</v>
      </c>
      <c r="F45" s="50" t="n">
        <f aca="false">SUM(D45:E45)</f>
        <v>0</v>
      </c>
      <c r="G45" s="50" t="n">
        <v>0</v>
      </c>
      <c r="H45" s="50" t="n">
        <v>0</v>
      </c>
      <c r="I45" s="50" t="n">
        <v>0</v>
      </c>
      <c r="J45" s="50" t="n">
        <v>97</v>
      </c>
      <c r="K45" s="50" t="n">
        <v>149</v>
      </c>
      <c r="L45" s="50" t="n">
        <v>246</v>
      </c>
      <c r="M45" s="50" t="n">
        <v>97</v>
      </c>
      <c r="N45" s="50" t="n">
        <v>149</v>
      </c>
      <c r="O45" s="51" t="n">
        <v>246</v>
      </c>
      <c r="P45" s="52" t="n">
        <f aca="false">+(N45-M45)/O45</f>
        <v>0.211382113821138</v>
      </c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15.75" hidden="false" customHeight="true" outlineLevel="0" collapsed="false">
      <c r="A46" s="80" t="s">
        <v>55</v>
      </c>
      <c r="B46" s="71" t="s">
        <v>54</v>
      </c>
      <c r="C46" s="49" t="s">
        <v>28</v>
      </c>
      <c r="D46" s="50" t="n">
        <v>0</v>
      </c>
      <c r="E46" s="50" t="n">
        <v>0</v>
      </c>
      <c r="F46" s="50" t="n">
        <f aca="false">SUM(D46:E46)</f>
        <v>0</v>
      </c>
      <c r="G46" s="50" t="n">
        <v>0</v>
      </c>
      <c r="H46" s="50" t="n">
        <v>0</v>
      </c>
      <c r="I46" s="50" t="n">
        <v>0</v>
      </c>
      <c r="J46" s="50" t="n">
        <v>74</v>
      </c>
      <c r="K46" s="50" t="n">
        <v>159</v>
      </c>
      <c r="L46" s="50" t="n">
        <v>233</v>
      </c>
      <c r="M46" s="50" t="n">
        <v>74</v>
      </c>
      <c r="N46" s="50" t="n">
        <v>159</v>
      </c>
      <c r="O46" s="51" t="n">
        <v>233</v>
      </c>
      <c r="P46" s="52" t="n">
        <f aca="false">+(N46-M46)/O46</f>
        <v>0.36480686695279</v>
      </c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15.75" hidden="false" customHeight="true" outlineLevel="0" collapsed="false">
      <c r="A47" s="80" t="s">
        <v>56</v>
      </c>
      <c r="B47" s="71" t="s">
        <v>54</v>
      </c>
      <c r="C47" s="49" t="s">
        <v>28</v>
      </c>
      <c r="D47" s="50" t="n">
        <v>0</v>
      </c>
      <c r="E47" s="50" t="n">
        <v>0</v>
      </c>
      <c r="F47" s="50" t="n">
        <f aca="false">SUM(D47:E47)</f>
        <v>0</v>
      </c>
      <c r="G47" s="50" t="n">
        <v>0</v>
      </c>
      <c r="H47" s="50" t="n">
        <v>0</v>
      </c>
      <c r="I47" s="50" t="n">
        <v>0</v>
      </c>
      <c r="J47" s="50" t="n">
        <v>36</v>
      </c>
      <c r="K47" s="50" t="n">
        <v>52</v>
      </c>
      <c r="L47" s="50" t="n">
        <v>88</v>
      </c>
      <c r="M47" s="50" t="n">
        <v>36</v>
      </c>
      <c r="N47" s="50" t="n">
        <v>52</v>
      </c>
      <c r="O47" s="51" t="n">
        <v>88</v>
      </c>
      <c r="P47" s="52" t="n">
        <f aca="false">+(N47-M47)/O47</f>
        <v>0.181818181818182</v>
      </c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15.75" hidden="false" customHeight="true" outlineLevel="0" collapsed="false">
      <c r="A48" s="81" t="s">
        <v>57</v>
      </c>
      <c r="B48" s="83" t="s">
        <v>58</v>
      </c>
      <c r="C48" s="57" t="s">
        <v>28</v>
      </c>
      <c r="D48" s="58" t="n">
        <v>0</v>
      </c>
      <c r="E48" s="58" t="n">
        <v>0</v>
      </c>
      <c r="F48" s="58" t="n">
        <f aca="false">SUM(D48:E48)</f>
        <v>0</v>
      </c>
      <c r="G48" s="58" t="n">
        <v>0</v>
      </c>
      <c r="H48" s="58" t="n">
        <v>0</v>
      </c>
      <c r="I48" s="58" t="n">
        <v>0</v>
      </c>
      <c r="J48" s="58" t="n">
        <v>121</v>
      </c>
      <c r="K48" s="58" t="n">
        <v>14</v>
      </c>
      <c r="L48" s="58" t="n">
        <v>135</v>
      </c>
      <c r="M48" s="58" t="n">
        <v>121</v>
      </c>
      <c r="N48" s="58" t="n">
        <v>14</v>
      </c>
      <c r="O48" s="59" t="n">
        <v>135</v>
      </c>
      <c r="P48" s="60" t="n">
        <f aca="false">+(N48-M48)/O48</f>
        <v>-0.792592592592593</v>
      </c>
      <c r="Q48" s="61" t="n">
        <v>1</v>
      </c>
      <c r="R48" s="81" t="s">
        <v>57</v>
      </c>
      <c r="S48" s="46"/>
      <c r="T48" s="46"/>
      <c r="U48" s="46"/>
      <c r="V48" s="46"/>
      <c r="W48" s="46"/>
      <c r="X48" s="46"/>
      <c r="Y48" s="46"/>
      <c r="Z48" s="46"/>
    </row>
    <row r="49" customFormat="false" ht="15.75" hidden="false" customHeight="true" outlineLevel="0" collapsed="false">
      <c r="A49" s="81" t="s">
        <v>59</v>
      </c>
      <c r="B49" s="83" t="s">
        <v>58</v>
      </c>
      <c r="C49" s="57" t="s">
        <v>28</v>
      </c>
      <c r="D49" s="58" t="n">
        <v>0</v>
      </c>
      <c r="E49" s="58" t="n">
        <v>0</v>
      </c>
      <c r="F49" s="58" t="n">
        <f aca="false">SUM(D49:E49)</f>
        <v>0</v>
      </c>
      <c r="G49" s="58" t="n">
        <v>0</v>
      </c>
      <c r="H49" s="58" t="n">
        <v>0</v>
      </c>
      <c r="I49" s="58" t="n">
        <v>0</v>
      </c>
      <c r="J49" s="58" t="n">
        <v>137</v>
      </c>
      <c r="K49" s="58" t="n">
        <v>47</v>
      </c>
      <c r="L49" s="58" t="n">
        <v>184</v>
      </c>
      <c r="M49" s="58" t="n">
        <v>137</v>
      </c>
      <c r="N49" s="58" t="n">
        <v>47</v>
      </c>
      <c r="O49" s="59" t="n">
        <v>184</v>
      </c>
      <c r="P49" s="60" t="n">
        <f aca="false">+(N49-M49)/O49</f>
        <v>-0.489130434782609</v>
      </c>
      <c r="Q49" s="61" t="n">
        <v>1</v>
      </c>
      <c r="R49" s="81" t="s">
        <v>59</v>
      </c>
      <c r="S49" s="46"/>
      <c r="T49" s="46"/>
      <c r="U49" s="46"/>
      <c r="V49" s="46"/>
      <c r="W49" s="46"/>
      <c r="X49" s="46"/>
      <c r="Y49" s="46"/>
      <c r="Z49" s="46"/>
    </row>
    <row r="50" customFormat="false" ht="15.75" hidden="false" customHeight="true" outlineLevel="0" collapsed="false">
      <c r="A50" s="81" t="s">
        <v>60</v>
      </c>
      <c r="B50" s="83" t="s">
        <v>58</v>
      </c>
      <c r="C50" s="57" t="s">
        <v>28</v>
      </c>
      <c r="D50" s="58" t="n">
        <v>0</v>
      </c>
      <c r="E50" s="58" t="n">
        <v>0</v>
      </c>
      <c r="F50" s="58" t="n">
        <f aca="false">SUM(D50:E50)</f>
        <v>0</v>
      </c>
      <c r="G50" s="58" t="n">
        <v>0</v>
      </c>
      <c r="H50" s="58" t="n">
        <v>0</v>
      </c>
      <c r="I50" s="58" t="n">
        <v>0</v>
      </c>
      <c r="J50" s="58" t="n">
        <v>101</v>
      </c>
      <c r="K50" s="58" t="n">
        <v>20</v>
      </c>
      <c r="L50" s="58" t="n">
        <v>121</v>
      </c>
      <c r="M50" s="58" t="n">
        <v>101</v>
      </c>
      <c r="N50" s="58" t="n">
        <v>20</v>
      </c>
      <c r="O50" s="59" t="n">
        <v>121</v>
      </c>
      <c r="P50" s="60" t="n">
        <f aca="false">+(N50-M50)/O50</f>
        <v>-0.669421487603306</v>
      </c>
      <c r="Q50" s="61" t="n">
        <v>1</v>
      </c>
      <c r="R50" s="81" t="s">
        <v>60</v>
      </c>
      <c r="S50" s="46"/>
      <c r="T50" s="46"/>
      <c r="U50" s="46"/>
      <c r="V50" s="46"/>
      <c r="W50" s="46"/>
      <c r="X50" s="46"/>
      <c r="Y50" s="46"/>
      <c r="Z50" s="46"/>
    </row>
    <row r="51" customFormat="false" ht="15.75" hidden="false" customHeight="true" outlineLevel="0" collapsed="false">
      <c r="A51" s="81" t="s">
        <v>61</v>
      </c>
      <c r="B51" s="83" t="s">
        <v>58</v>
      </c>
      <c r="C51" s="57" t="s">
        <v>28</v>
      </c>
      <c r="D51" s="58" t="n">
        <v>0</v>
      </c>
      <c r="E51" s="58" t="n">
        <v>0</v>
      </c>
      <c r="F51" s="58" t="n">
        <f aca="false">SUM(D51:E51)</f>
        <v>0</v>
      </c>
      <c r="G51" s="58" t="n">
        <v>0</v>
      </c>
      <c r="H51" s="58" t="n">
        <v>0</v>
      </c>
      <c r="I51" s="58" t="n">
        <v>0</v>
      </c>
      <c r="J51" s="58" t="n">
        <v>60</v>
      </c>
      <c r="K51" s="58" t="n">
        <v>19</v>
      </c>
      <c r="L51" s="58" t="n">
        <v>79</v>
      </c>
      <c r="M51" s="58" t="n">
        <v>60</v>
      </c>
      <c r="N51" s="58" t="n">
        <v>19</v>
      </c>
      <c r="O51" s="59" t="n">
        <v>79</v>
      </c>
      <c r="P51" s="60" t="n">
        <f aca="false">+(N51-M51)/O51</f>
        <v>-0.518987341772152</v>
      </c>
      <c r="Q51" s="61" t="n">
        <v>1</v>
      </c>
      <c r="R51" s="81" t="s">
        <v>61</v>
      </c>
      <c r="S51" s="46"/>
      <c r="T51" s="46"/>
      <c r="U51" s="46"/>
      <c r="V51" s="46"/>
      <c r="W51" s="46"/>
      <c r="X51" s="46"/>
      <c r="Y51" s="46"/>
      <c r="Z51" s="46"/>
    </row>
    <row r="52" customFormat="false" ht="15.75" hidden="false" customHeight="true" outlineLevel="0" collapsed="false">
      <c r="A52" s="80" t="s">
        <v>62</v>
      </c>
      <c r="B52" s="71" t="s">
        <v>63</v>
      </c>
      <c r="C52" s="49" t="s">
        <v>28</v>
      </c>
      <c r="D52" s="50" t="n">
        <v>0</v>
      </c>
      <c r="E52" s="50" t="n">
        <v>0</v>
      </c>
      <c r="F52" s="50" t="n">
        <f aca="false">SUM(D52:E52)</f>
        <v>0</v>
      </c>
      <c r="G52" s="50" t="n">
        <v>0</v>
      </c>
      <c r="H52" s="50" t="n">
        <v>0</v>
      </c>
      <c r="I52" s="50" t="n">
        <v>0</v>
      </c>
      <c r="J52" s="84" t="n">
        <v>52</v>
      </c>
      <c r="K52" s="84" t="n">
        <v>75</v>
      </c>
      <c r="L52" s="84" t="n">
        <v>127</v>
      </c>
      <c r="M52" s="84" t="n">
        <v>52</v>
      </c>
      <c r="N52" s="84" t="n">
        <v>75</v>
      </c>
      <c r="O52" s="85" t="n">
        <v>127</v>
      </c>
      <c r="P52" s="52" t="n">
        <f aca="false">+(N52-M52)/O52</f>
        <v>0.181102362204724</v>
      </c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15.75" hidden="false" customHeight="true" outlineLevel="0" collapsed="false">
      <c r="A53" s="80" t="s">
        <v>64</v>
      </c>
      <c r="B53" s="71" t="s">
        <v>63</v>
      </c>
      <c r="C53" s="49" t="s">
        <v>28</v>
      </c>
      <c r="D53" s="50" t="n">
        <v>0</v>
      </c>
      <c r="E53" s="50" t="n">
        <v>0</v>
      </c>
      <c r="F53" s="50" t="n">
        <f aca="false">SUM(D53:E53)</f>
        <v>0</v>
      </c>
      <c r="G53" s="50" t="n">
        <v>0</v>
      </c>
      <c r="H53" s="50" t="n">
        <v>0</v>
      </c>
      <c r="I53" s="50" t="n">
        <v>0</v>
      </c>
      <c r="J53" s="50" t="n">
        <v>17</v>
      </c>
      <c r="K53" s="50" t="n">
        <v>72</v>
      </c>
      <c r="L53" s="50" t="n">
        <v>89</v>
      </c>
      <c r="M53" s="50" t="n">
        <v>17</v>
      </c>
      <c r="N53" s="50" t="n">
        <v>72</v>
      </c>
      <c r="O53" s="51" t="n">
        <v>89</v>
      </c>
      <c r="P53" s="52" t="n">
        <f aca="false">+(N53-M53)/O53</f>
        <v>0.617977528089888</v>
      </c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15.75" hidden="false" customHeight="true" outlineLevel="0" collapsed="false">
      <c r="A54" s="80" t="s">
        <v>65</v>
      </c>
      <c r="B54" s="71" t="s">
        <v>66</v>
      </c>
      <c r="C54" s="49" t="s">
        <v>28</v>
      </c>
      <c r="D54" s="50" t="n">
        <v>0</v>
      </c>
      <c r="E54" s="50" t="n">
        <v>0</v>
      </c>
      <c r="F54" s="50" t="n">
        <f aca="false">SUM(D54:E54)</f>
        <v>0</v>
      </c>
      <c r="G54" s="50" t="n">
        <v>0</v>
      </c>
      <c r="H54" s="50" t="n">
        <v>0</v>
      </c>
      <c r="I54" s="50" t="n">
        <v>0</v>
      </c>
      <c r="J54" s="84" t="n">
        <v>100</v>
      </c>
      <c r="K54" s="84" t="n">
        <v>168</v>
      </c>
      <c r="L54" s="84" t="n">
        <v>268</v>
      </c>
      <c r="M54" s="84" t="n">
        <v>100</v>
      </c>
      <c r="N54" s="84" t="n">
        <v>168</v>
      </c>
      <c r="O54" s="85" t="n">
        <v>268</v>
      </c>
      <c r="P54" s="52" t="n">
        <f aca="false">+(N54-M54)/O54</f>
        <v>0.253731343283582</v>
      </c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15.75" hidden="false" customHeight="true" outlineLevel="0" collapsed="false">
      <c r="A55" s="70" t="s">
        <v>67</v>
      </c>
      <c r="B55" s="71" t="s">
        <v>66</v>
      </c>
      <c r="C55" s="86" t="s">
        <v>28</v>
      </c>
      <c r="D55" s="50" t="n">
        <v>0</v>
      </c>
      <c r="E55" s="50" t="n">
        <v>0</v>
      </c>
      <c r="F55" s="73" t="n">
        <f aca="false">SUM(D55:E55)</f>
        <v>0</v>
      </c>
      <c r="G55" s="73" t="n">
        <v>0</v>
      </c>
      <c r="H55" s="73" t="n">
        <v>0</v>
      </c>
      <c r="I55" s="73" t="n">
        <v>0</v>
      </c>
      <c r="J55" s="87" t="n">
        <v>54</v>
      </c>
      <c r="K55" s="87" t="n">
        <v>126</v>
      </c>
      <c r="L55" s="87" t="n">
        <v>180</v>
      </c>
      <c r="M55" s="87" t="n">
        <v>54</v>
      </c>
      <c r="N55" s="87" t="n">
        <v>126</v>
      </c>
      <c r="O55" s="88" t="n">
        <v>180</v>
      </c>
      <c r="P55" s="52" t="n">
        <f aca="false">+(N55-M55)/O55</f>
        <v>0.4</v>
      </c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15.75" hidden="false" customHeight="true" outlineLevel="0" collapsed="false">
      <c r="A56" s="64" t="s">
        <v>46</v>
      </c>
      <c r="B56" s="64"/>
      <c r="C56" s="64"/>
      <c r="D56" s="44" t="n">
        <f aca="false">SUM(D42:D55)</f>
        <v>0</v>
      </c>
      <c r="E56" s="44" t="n">
        <f aca="false">SUM(E42:E55)</f>
        <v>0</v>
      </c>
      <c r="F56" s="44" t="n">
        <f aca="false">SUM(F42:F55)</f>
        <v>0</v>
      </c>
      <c r="G56" s="44" t="n">
        <f aca="false">SUM(G42:G55)</f>
        <v>0</v>
      </c>
      <c r="H56" s="44" t="n">
        <f aca="false">SUM(H42:H55)</f>
        <v>0</v>
      </c>
      <c r="I56" s="44" t="n">
        <f aca="false">SUM(I42:I55)</f>
        <v>0</v>
      </c>
      <c r="J56" s="44" t="n">
        <f aca="false">SUM(J42:J55)</f>
        <v>929</v>
      </c>
      <c r="K56" s="44" t="n">
        <f aca="false">SUM(K42:K55)</f>
        <v>991</v>
      </c>
      <c r="L56" s="44" t="n">
        <f aca="false">SUM(L42:L55)</f>
        <v>1920</v>
      </c>
      <c r="M56" s="44" t="n">
        <f aca="false">SUM(M42:M55)</f>
        <v>929</v>
      </c>
      <c r="N56" s="44" t="n">
        <f aca="false">SUM(N42:N55)</f>
        <v>991</v>
      </c>
      <c r="O56" s="45" t="n">
        <f aca="false">SUM(O42:O55)</f>
        <v>1920</v>
      </c>
      <c r="P56" s="52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30" hidden="false" customHeight="true" outlineLevel="0" collapsed="false">
      <c r="A57" s="75"/>
      <c r="B57" s="76"/>
      <c r="C57" s="4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2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15.75" hidden="false" customHeight="true" outlineLevel="0" collapsed="false">
      <c r="A58" s="78" t="s">
        <v>68</v>
      </c>
      <c r="B58" s="89"/>
      <c r="C58" s="89"/>
      <c r="D58" s="44" t="s">
        <v>23</v>
      </c>
      <c r="E58" s="44" t="s">
        <v>24</v>
      </c>
      <c r="F58" s="44" t="s">
        <v>25</v>
      </c>
      <c r="G58" s="44" t="s">
        <v>23</v>
      </c>
      <c r="H58" s="44" t="s">
        <v>24</v>
      </c>
      <c r="I58" s="44" t="s">
        <v>25</v>
      </c>
      <c r="J58" s="44" t="s">
        <v>23</v>
      </c>
      <c r="K58" s="44" t="s">
        <v>24</v>
      </c>
      <c r="L58" s="44" t="s">
        <v>25</v>
      </c>
      <c r="M58" s="44" t="s">
        <v>23</v>
      </c>
      <c r="N58" s="44" t="s">
        <v>24</v>
      </c>
      <c r="O58" s="45" t="s">
        <v>25</v>
      </c>
      <c r="P58" s="90"/>
      <c r="Q58" s="7"/>
      <c r="R58" s="91"/>
      <c r="S58" s="91"/>
      <c r="T58" s="91"/>
      <c r="U58" s="91"/>
      <c r="V58" s="91"/>
      <c r="W58" s="91"/>
      <c r="X58" s="91"/>
      <c r="Y58" s="91"/>
      <c r="Z58" s="91"/>
    </row>
    <row r="59" customFormat="false" ht="15.75" hidden="false" customHeight="true" outlineLevel="0" collapsed="false">
      <c r="A59" s="92" t="s">
        <v>69</v>
      </c>
      <c r="B59" s="49"/>
      <c r="C59" s="49"/>
      <c r="D59" s="93"/>
      <c r="E59" s="93"/>
      <c r="F59" s="93"/>
      <c r="G59" s="93"/>
      <c r="H59" s="93"/>
      <c r="I59" s="49"/>
      <c r="J59" s="93"/>
      <c r="K59" s="93"/>
      <c r="L59" s="93"/>
      <c r="M59" s="93"/>
      <c r="N59" s="93"/>
      <c r="O59" s="94"/>
      <c r="P59" s="52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15.75" hidden="false" customHeight="true" outlineLevel="0" collapsed="false">
      <c r="A60" s="95" t="s">
        <v>70</v>
      </c>
      <c r="B60" s="96"/>
      <c r="C60" s="96"/>
      <c r="D60" s="50"/>
      <c r="E60" s="50"/>
      <c r="F60" s="50"/>
      <c r="G60" s="50"/>
      <c r="H60" s="50"/>
      <c r="I60" s="96"/>
      <c r="J60" s="50"/>
      <c r="K60" s="50"/>
      <c r="L60" s="50"/>
      <c r="M60" s="50"/>
      <c r="N60" s="50"/>
      <c r="O60" s="51"/>
      <c r="P60" s="52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15.75" hidden="false" customHeight="true" outlineLevel="0" collapsed="false">
      <c r="A61" s="97" t="s">
        <v>71</v>
      </c>
      <c r="B61" s="98"/>
      <c r="C61" s="98"/>
      <c r="D61" s="99"/>
      <c r="E61" s="99"/>
      <c r="F61" s="99"/>
      <c r="G61" s="99"/>
      <c r="H61" s="99"/>
      <c r="I61" s="100"/>
      <c r="J61" s="99"/>
      <c r="K61" s="99"/>
      <c r="L61" s="99"/>
      <c r="M61" s="99"/>
      <c r="N61" s="99"/>
      <c r="O61" s="101"/>
      <c r="P61" s="52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15.75" hidden="false" customHeight="true" outlineLevel="0" collapsed="false">
      <c r="A62" s="64" t="s">
        <v>46</v>
      </c>
      <c r="B62" s="64"/>
      <c r="C62" s="64"/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5" t="n">
        <v>0</v>
      </c>
      <c r="P62" s="52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15.75" hidden="false" customHeight="true" outlineLevel="0" collapsed="false">
      <c r="A63" s="67"/>
      <c r="B63" s="76"/>
      <c r="C63" s="76"/>
      <c r="D63" s="2"/>
      <c r="E63" s="2"/>
      <c r="F63" s="2"/>
      <c r="G63" s="2"/>
      <c r="H63" s="2"/>
      <c r="I63" s="76"/>
      <c r="J63" s="2"/>
      <c r="K63" s="2"/>
      <c r="L63" s="2"/>
      <c r="M63" s="2"/>
      <c r="N63" s="2"/>
      <c r="O63" s="2"/>
      <c r="P63" s="52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15.75" hidden="false" customHeight="true" outlineLevel="0" collapsed="false">
      <c r="A64" s="78" t="s">
        <v>72</v>
      </c>
      <c r="B64" s="69"/>
      <c r="C64" s="69"/>
      <c r="D64" s="44" t="s">
        <v>23</v>
      </c>
      <c r="E64" s="44" t="s">
        <v>24</v>
      </c>
      <c r="F64" s="44" t="s">
        <v>25</v>
      </c>
      <c r="G64" s="44" t="s">
        <v>23</v>
      </c>
      <c r="H64" s="44" t="s">
        <v>24</v>
      </c>
      <c r="I64" s="44" t="s">
        <v>25</v>
      </c>
      <c r="J64" s="44" t="s">
        <v>23</v>
      </c>
      <c r="K64" s="44" t="s">
        <v>24</v>
      </c>
      <c r="L64" s="44" t="s">
        <v>25</v>
      </c>
      <c r="M64" s="44" t="s">
        <v>23</v>
      </c>
      <c r="N64" s="44" t="s">
        <v>24</v>
      </c>
      <c r="O64" s="45" t="s">
        <v>25</v>
      </c>
      <c r="P64" s="52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15.75" hidden="false" customHeight="true" outlineLevel="0" collapsed="false">
      <c r="A65" s="102" t="s">
        <v>73</v>
      </c>
      <c r="B65" s="83" t="s">
        <v>54</v>
      </c>
      <c r="C65" s="57" t="s">
        <v>28</v>
      </c>
      <c r="D65" s="58" t="n">
        <v>0</v>
      </c>
      <c r="E65" s="58" t="n">
        <v>0</v>
      </c>
      <c r="F65" s="58" t="n">
        <v>0</v>
      </c>
      <c r="G65" s="58" t="n">
        <v>0</v>
      </c>
      <c r="H65" s="58" t="n">
        <v>0</v>
      </c>
      <c r="I65" s="58" t="n">
        <v>0</v>
      </c>
      <c r="J65" s="103" t="n">
        <v>7</v>
      </c>
      <c r="K65" s="103" t="n">
        <v>6</v>
      </c>
      <c r="L65" s="103" t="n">
        <v>13</v>
      </c>
      <c r="M65" s="58" t="n">
        <v>7</v>
      </c>
      <c r="N65" s="58" t="n">
        <v>6</v>
      </c>
      <c r="O65" s="59" t="n">
        <v>13</v>
      </c>
      <c r="P65" s="52" t="n">
        <f aca="false">+(N65-M65)/O65</f>
        <v>-0.0769230769230769</v>
      </c>
      <c r="Q65" s="2" t="n">
        <v>0</v>
      </c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15.75" hidden="false" customHeight="true" outlineLevel="0" collapsed="false">
      <c r="A66" s="104" t="s">
        <v>74</v>
      </c>
      <c r="B66" s="71" t="s">
        <v>54</v>
      </c>
      <c r="C66" s="96" t="s">
        <v>28</v>
      </c>
      <c r="D66" s="50" t="n">
        <v>0</v>
      </c>
      <c r="E66" s="50" t="n">
        <v>0</v>
      </c>
      <c r="F66" s="50" t="n">
        <v>0</v>
      </c>
      <c r="G66" s="105" t="n">
        <v>0</v>
      </c>
      <c r="H66" s="50" t="n">
        <v>0</v>
      </c>
      <c r="I66" s="50" t="n">
        <v>0</v>
      </c>
      <c r="J66" s="50" t="n">
        <v>13</v>
      </c>
      <c r="K66" s="50" t="n">
        <v>20</v>
      </c>
      <c r="L66" s="93" t="n">
        <v>33</v>
      </c>
      <c r="M66" s="50" t="n">
        <v>13</v>
      </c>
      <c r="N66" s="50" t="n">
        <v>20</v>
      </c>
      <c r="O66" s="51" t="n">
        <v>33</v>
      </c>
      <c r="P66" s="52" t="n">
        <f aca="false">+(N66-M66)/O66</f>
        <v>0.212121212121212</v>
      </c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15.75" hidden="false" customHeight="true" outlineLevel="0" collapsed="false">
      <c r="A67" s="106" t="s">
        <v>75</v>
      </c>
      <c r="B67" s="83" t="s">
        <v>66</v>
      </c>
      <c r="C67" s="107" t="s">
        <v>28</v>
      </c>
      <c r="D67" s="58" t="n">
        <v>0</v>
      </c>
      <c r="E67" s="58" t="n">
        <v>0</v>
      </c>
      <c r="F67" s="58" t="n">
        <v>0</v>
      </c>
      <c r="G67" s="108" t="n">
        <v>0</v>
      </c>
      <c r="H67" s="108" t="n">
        <v>0</v>
      </c>
      <c r="I67" s="58" t="n">
        <v>0</v>
      </c>
      <c r="J67" s="108" t="n">
        <v>8</v>
      </c>
      <c r="K67" s="108" t="n">
        <v>4</v>
      </c>
      <c r="L67" s="103" t="n">
        <v>12</v>
      </c>
      <c r="M67" s="58" t="n">
        <v>8</v>
      </c>
      <c r="N67" s="58" t="n">
        <v>4</v>
      </c>
      <c r="O67" s="59" t="n">
        <v>12</v>
      </c>
      <c r="P67" s="52" t="n">
        <f aca="false">+(N67-M67)/O67</f>
        <v>-0.333333333333333</v>
      </c>
      <c r="Q67" s="2" t="n">
        <v>0</v>
      </c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15.75" hidden="false" customHeight="true" outlineLevel="0" collapsed="false">
      <c r="A68" s="109" t="s">
        <v>46</v>
      </c>
      <c r="B68" s="109"/>
      <c r="C68" s="109"/>
      <c r="D68" s="44" t="n">
        <f aca="false">SUM(D65:D67)</f>
        <v>0</v>
      </c>
      <c r="E68" s="44" t="n">
        <f aca="false">SUM(E65:E67)</f>
        <v>0</v>
      </c>
      <c r="F68" s="44" t="n">
        <f aca="false">SUM(F65:F67)</f>
        <v>0</v>
      </c>
      <c r="G68" s="44" t="n">
        <f aca="false">SUM(G65:G67)</f>
        <v>0</v>
      </c>
      <c r="H68" s="44" t="n">
        <f aca="false">SUM(H65:H67)</f>
        <v>0</v>
      </c>
      <c r="I68" s="44" t="n">
        <f aca="false">SUM(I65:I67)</f>
        <v>0</v>
      </c>
      <c r="J68" s="44" t="n">
        <f aca="false">SUM(J65:J67)</f>
        <v>28</v>
      </c>
      <c r="K68" s="44" t="n">
        <f aca="false">SUM(K65:K67)</f>
        <v>30</v>
      </c>
      <c r="L68" s="44" t="n">
        <f aca="false">SUM(L65:L67)</f>
        <v>58</v>
      </c>
      <c r="M68" s="44" t="n">
        <f aca="false">SUM(M65:M67)</f>
        <v>28</v>
      </c>
      <c r="N68" s="44" t="n">
        <f aca="false">SUM(N65:N67)</f>
        <v>30</v>
      </c>
      <c r="O68" s="45" t="n">
        <f aca="false">SUM(O65:O67)</f>
        <v>58</v>
      </c>
      <c r="P68" s="52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15.75" hidden="false" customHeight="true" outlineLevel="0" collapsed="false">
      <c r="A69" s="67"/>
      <c r="B69" s="76"/>
      <c r="C69" s="7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2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15.75" hidden="false" customHeight="true" outlineLevel="0" collapsed="false">
      <c r="A70" s="67"/>
      <c r="B70" s="76"/>
      <c r="C70" s="7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2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15.75" hidden="false" customHeight="true" outlineLevel="0" collapsed="false">
      <c r="A71" s="67"/>
      <c r="B71" s="76"/>
      <c r="C71" s="7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52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15.75" hidden="false" customHeight="true" outlineLevel="0" collapsed="false">
      <c r="A72" s="67"/>
      <c r="B72" s="76"/>
      <c r="C72" s="7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2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15.75" hidden="false" customHeight="true" outlineLevel="0" collapsed="false">
      <c r="A73" s="67"/>
      <c r="B73" s="76"/>
      <c r="C73" s="76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52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15.75" hidden="false" customHeight="true" outlineLevel="0" collapsed="false">
      <c r="A74" s="78" t="s">
        <v>76</v>
      </c>
      <c r="B74" s="69"/>
      <c r="C74" s="69"/>
      <c r="D74" s="44" t="s">
        <v>23</v>
      </c>
      <c r="E74" s="44" t="s">
        <v>24</v>
      </c>
      <c r="F74" s="44" t="s">
        <v>25</v>
      </c>
      <c r="G74" s="44" t="s">
        <v>23</v>
      </c>
      <c r="H74" s="44" t="s">
        <v>24</v>
      </c>
      <c r="I74" s="44" t="s">
        <v>25</v>
      </c>
      <c r="J74" s="44" t="s">
        <v>23</v>
      </c>
      <c r="K74" s="44" t="s">
        <v>24</v>
      </c>
      <c r="L74" s="44" t="s">
        <v>25</v>
      </c>
      <c r="M74" s="44" t="s">
        <v>23</v>
      </c>
      <c r="N74" s="44" t="s">
        <v>24</v>
      </c>
      <c r="O74" s="45" t="s">
        <v>25</v>
      </c>
      <c r="P74" s="52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15.75" hidden="false" customHeight="true" outlineLevel="0" collapsed="false">
      <c r="A75" s="92" t="s">
        <v>69</v>
      </c>
      <c r="B75" s="49"/>
      <c r="C75" s="49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4"/>
      <c r="P75" s="52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15.75" hidden="false" customHeight="true" outlineLevel="0" collapsed="false">
      <c r="A76" s="95" t="s">
        <v>70</v>
      </c>
      <c r="B76" s="96"/>
      <c r="C76" s="96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1"/>
      <c r="P76" s="52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15.75" hidden="false" customHeight="true" outlineLevel="0" collapsed="false">
      <c r="A77" s="110" t="s">
        <v>71</v>
      </c>
      <c r="B77" s="72"/>
      <c r="C77" s="72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4"/>
      <c r="P77" s="52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15.75" hidden="false" customHeight="true" outlineLevel="0" collapsed="false">
      <c r="A78" s="109" t="s">
        <v>46</v>
      </c>
      <c r="B78" s="109"/>
      <c r="C78" s="109"/>
      <c r="D78" s="44" t="n">
        <v>0</v>
      </c>
      <c r="E78" s="44" t="n">
        <v>0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</v>
      </c>
      <c r="K78" s="44" t="n">
        <v>0</v>
      </c>
      <c r="L78" s="44" t="n">
        <v>0</v>
      </c>
      <c r="M78" s="44" t="n">
        <v>0</v>
      </c>
      <c r="N78" s="44" t="n">
        <v>0</v>
      </c>
      <c r="O78" s="45" t="n">
        <v>0</v>
      </c>
      <c r="P78" s="52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15.75" hidden="false" customHeight="true" outlineLevel="0" collapsed="false">
      <c r="A79" s="111" t="s">
        <v>77</v>
      </c>
      <c r="B79" s="111"/>
      <c r="C79" s="111"/>
      <c r="D79" s="44" t="n">
        <f aca="false">SUM(D35+D56+D68)</f>
        <v>0</v>
      </c>
      <c r="E79" s="44" t="n">
        <f aca="false">SUM(E35+E56+E68)</f>
        <v>0</v>
      </c>
      <c r="F79" s="44" t="n">
        <f aca="false">SUM(F35+F56+F68)</f>
        <v>0</v>
      </c>
      <c r="G79" s="44" t="n">
        <f aca="false">SUM(G35+G56+G68)</f>
        <v>0</v>
      </c>
      <c r="H79" s="44" t="n">
        <f aca="false">SUM(H35+H56+H68)</f>
        <v>0</v>
      </c>
      <c r="I79" s="44" t="n">
        <f aca="false">SUM(I35+I56+I68)</f>
        <v>0</v>
      </c>
      <c r="J79" s="44" t="n">
        <f aca="false">SUM(J35+J56+J68)</f>
        <v>2168</v>
      </c>
      <c r="K79" s="44" t="n">
        <f aca="false">SUM(K35+K56+K68)</f>
        <v>2837</v>
      </c>
      <c r="L79" s="44" t="n">
        <f aca="false">SUM(L35+L56+L68)</f>
        <v>5005</v>
      </c>
      <c r="M79" s="44" t="n">
        <f aca="false">SUM(M35+M56+M68)</f>
        <v>2168</v>
      </c>
      <c r="N79" s="44" t="n">
        <f aca="false">SUM(N35+N56+N68)</f>
        <v>2837</v>
      </c>
      <c r="O79" s="45" t="n">
        <f aca="false">SUM(O35+O56+O68)</f>
        <v>5005</v>
      </c>
      <c r="P79" s="52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36" hidden="false" customHeight="true" outlineLevel="0" collapsed="false">
      <c r="A80" s="112"/>
      <c r="B80" s="112"/>
      <c r="C80" s="11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2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15.75" hidden="false" customHeight="true" outlineLevel="0" collapsed="false">
      <c r="A81" s="113" t="s">
        <v>78</v>
      </c>
      <c r="B81" s="113"/>
      <c r="C81" s="113"/>
      <c r="D81" s="113"/>
      <c r="E81" s="113"/>
      <c r="F81" s="113"/>
      <c r="G81" s="35" t="s">
        <v>13</v>
      </c>
      <c r="H81" s="35"/>
      <c r="I81" s="35"/>
      <c r="J81" s="35"/>
      <c r="K81" s="35"/>
      <c r="L81" s="35"/>
      <c r="M81" s="35"/>
      <c r="N81" s="35"/>
      <c r="O81" s="35"/>
      <c r="P81" s="52"/>
    </row>
    <row r="82" customFormat="false" ht="24" hidden="false" customHeight="true" outlineLevel="0" collapsed="false">
      <c r="A82" s="35" t="s">
        <v>15</v>
      </c>
      <c r="B82" s="38" t="s">
        <v>16</v>
      </c>
      <c r="C82" s="38" t="s">
        <v>17</v>
      </c>
      <c r="D82" s="39" t="s">
        <v>18</v>
      </c>
      <c r="E82" s="39"/>
      <c r="F82" s="39"/>
      <c r="G82" s="38" t="s">
        <v>19</v>
      </c>
      <c r="H82" s="38"/>
      <c r="I82" s="38"/>
      <c r="J82" s="38" t="s">
        <v>20</v>
      </c>
      <c r="K82" s="38"/>
      <c r="L82" s="38"/>
      <c r="M82" s="38" t="s">
        <v>21</v>
      </c>
      <c r="N82" s="38"/>
      <c r="O82" s="38"/>
      <c r="P82" s="52"/>
      <c r="R82" s="40"/>
      <c r="S82" s="40"/>
      <c r="T82" s="40"/>
      <c r="U82" s="40"/>
      <c r="V82" s="40"/>
      <c r="W82" s="40"/>
      <c r="X82" s="40"/>
      <c r="Y82" s="40"/>
      <c r="Z82" s="40"/>
    </row>
    <row r="83" customFormat="false" ht="15.75" hidden="false" customHeight="true" outlineLevel="0" collapsed="false">
      <c r="A83" s="41" t="s">
        <v>22</v>
      </c>
      <c r="B83" s="42"/>
      <c r="C83" s="42"/>
      <c r="D83" s="43" t="s">
        <v>23</v>
      </c>
      <c r="E83" s="44" t="s">
        <v>24</v>
      </c>
      <c r="F83" s="45" t="s">
        <v>25</v>
      </c>
      <c r="G83" s="43" t="s">
        <v>23</v>
      </c>
      <c r="H83" s="44" t="s">
        <v>24</v>
      </c>
      <c r="I83" s="45" t="s">
        <v>25</v>
      </c>
      <c r="J83" s="43" t="s">
        <v>23</v>
      </c>
      <c r="K83" s="44" t="s">
        <v>24</v>
      </c>
      <c r="L83" s="45" t="s">
        <v>25</v>
      </c>
      <c r="M83" s="114" t="s">
        <v>23</v>
      </c>
      <c r="N83" s="44" t="s">
        <v>24</v>
      </c>
      <c r="O83" s="45" t="s">
        <v>25</v>
      </c>
      <c r="P83" s="52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15.75" hidden="false" customHeight="true" outlineLevel="0" collapsed="false">
      <c r="A84" s="47" t="s">
        <v>32</v>
      </c>
      <c r="B84" s="48" t="s">
        <v>79</v>
      </c>
      <c r="C84" s="49" t="s">
        <v>80</v>
      </c>
      <c r="D84" s="50" t="n">
        <v>0</v>
      </c>
      <c r="E84" s="50" t="n">
        <v>0</v>
      </c>
      <c r="F84" s="50" t="n">
        <f aca="false">SUM(D84+E84)</f>
        <v>0</v>
      </c>
      <c r="G84" s="50" t="n">
        <v>0</v>
      </c>
      <c r="H84" s="50" t="n">
        <v>0</v>
      </c>
      <c r="I84" s="50" t="n">
        <v>0</v>
      </c>
      <c r="J84" s="93" t="n">
        <v>217</v>
      </c>
      <c r="K84" s="93" t="n">
        <v>308</v>
      </c>
      <c r="L84" s="93" t="n">
        <v>525</v>
      </c>
      <c r="M84" s="50" t="n">
        <v>217</v>
      </c>
      <c r="N84" s="50" t="n">
        <v>308</v>
      </c>
      <c r="O84" s="51" t="n">
        <v>525</v>
      </c>
      <c r="P84" s="52" t="n">
        <f aca="false">+(N84-M84)/O84</f>
        <v>0.173333333333333</v>
      </c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15.75" hidden="false" customHeight="true" outlineLevel="0" collapsed="false">
      <c r="A85" s="53" t="s">
        <v>30</v>
      </c>
      <c r="B85" s="54" t="s">
        <v>79</v>
      </c>
      <c r="C85" s="96" t="s">
        <v>80</v>
      </c>
      <c r="D85" s="50" t="n">
        <v>0</v>
      </c>
      <c r="E85" s="50" t="n">
        <v>0</v>
      </c>
      <c r="F85" s="50" t="n">
        <f aca="false">SUM(D85+E85)</f>
        <v>0</v>
      </c>
      <c r="G85" s="50" t="n">
        <v>0</v>
      </c>
      <c r="H85" s="50" t="n">
        <v>0</v>
      </c>
      <c r="I85" s="50" t="n">
        <v>0</v>
      </c>
      <c r="J85" s="50" t="n">
        <v>91</v>
      </c>
      <c r="K85" s="50" t="n">
        <v>141</v>
      </c>
      <c r="L85" s="93" t="n">
        <v>232</v>
      </c>
      <c r="M85" s="50" t="n">
        <v>91</v>
      </c>
      <c r="N85" s="50" t="n">
        <v>141</v>
      </c>
      <c r="O85" s="51" t="n">
        <v>232</v>
      </c>
      <c r="P85" s="52" t="n">
        <f aca="false">+(N85-M85)/O85</f>
        <v>0.21551724137931</v>
      </c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15.75" hidden="false" customHeight="true" outlineLevel="0" collapsed="false">
      <c r="A86" s="55" t="s">
        <v>31</v>
      </c>
      <c r="B86" s="56" t="s">
        <v>79</v>
      </c>
      <c r="C86" s="115" t="s">
        <v>80</v>
      </c>
      <c r="D86" s="58" t="n">
        <v>0</v>
      </c>
      <c r="E86" s="58" t="n">
        <v>0</v>
      </c>
      <c r="F86" s="58" t="n">
        <f aca="false">SUM(D86+E86)</f>
        <v>0</v>
      </c>
      <c r="G86" s="58" t="n">
        <v>0</v>
      </c>
      <c r="H86" s="58" t="n">
        <v>0</v>
      </c>
      <c r="I86" s="58" t="n">
        <v>0</v>
      </c>
      <c r="J86" s="58" t="n">
        <v>70</v>
      </c>
      <c r="K86" s="58" t="n">
        <v>36</v>
      </c>
      <c r="L86" s="103" t="n">
        <v>106</v>
      </c>
      <c r="M86" s="58" t="n">
        <v>70</v>
      </c>
      <c r="N86" s="58" t="n">
        <v>36</v>
      </c>
      <c r="O86" s="59" t="n">
        <v>106</v>
      </c>
      <c r="P86" s="60" t="n">
        <f aca="false">+(N86-M86)/O86</f>
        <v>-0.320754716981132</v>
      </c>
      <c r="Q86" s="61" t="n">
        <v>1</v>
      </c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15.75" hidden="false" customHeight="true" outlineLevel="0" collapsed="false">
      <c r="A87" s="55" t="s">
        <v>32</v>
      </c>
      <c r="B87" s="82" t="s">
        <v>81</v>
      </c>
      <c r="C87" s="115" t="s">
        <v>80</v>
      </c>
      <c r="D87" s="58" t="n">
        <v>0</v>
      </c>
      <c r="E87" s="58" t="n">
        <v>0</v>
      </c>
      <c r="F87" s="58" t="n">
        <f aca="false">SUM(D87+E87)</f>
        <v>0</v>
      </c>
      <c r="G87" s="58" t="n">
        <v>0</v>
      </c>
      <c r="H87" s="58" t="n">
        <v>0</v>
      </c>
      <c r="I87" s="58" t="n">
        <v>0</v>
      </c>
      <c r="J87" s="58" t="n">
        <v>101</v>
      </c>
      <c r="K87" s="58" t="n">
        <v>100</v>
      </c>
      <c r="L87" s="103" t="n">
        <v>201</v>
      </c>
      <c r="M87" s="58" t="n">
        <v>101</v>
      </c>
      <c r="N87" s="58" t="n">
        <v>100</v>
      </c>
      <c r="O87" s="59" t="n">
        <v>201</v>
      </c>
      <c r="P87" s="52" t="n">
        <f aca="false">+(N87-M87)/O87</f>
        <v>-0.00497512437810945</v>
      </c>
      <c r="Q87" s="2" t="n">
        <v>0</v>
      </c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15.75" hidden="false" customHeight="true" outlineLevel="0" collapsed="false">
      <c r="A88" s="116" t="s">
        <v>30</v>
      </c>
      <c r="B88" s="62" t="s">
        <v>81</v>
      </c>
      <c r="C88" s="115" t="s">
        <v>80</v>
      </c>
      <c r="D88" s="58" t="n">
        <v>0</v>
      </c>
      <c r="E88" s="58" t="n">
        <v>0</v>
      </c>
      <c r="F88" s="58" t="n">
        <f aca="false">SUM(D88+E88)</f>
        <v>0</v>
      </c>
      <c r="G88" s="58" t="n">
        <v>0</v>
      </c>
      <c r="H88" s="58" t="n">
        <v>0</v>
      </c>
      <c r="I88" s="58" t="n">
        <v>0</v>
      </c>
      <c r="J88" s="58" t="n">
        <v>40</v>
      </c>
      <c r="K88" s="58" t="n">
        <v>38</v>
      </c>
      <c r="L88" s="103" t="n">
        <v>78</v>
      </c>
      <c r="M88" s="58" t="n">
        <v>40</v>
      </c>
      <c r="N88" s="58" t="n">
        <v>38</v>
      </c>
      <c r="O88" s="59" t="n">
        <v>78</v>
      </c>
      <c r="P88" s="52" t="n">
        <f aca="false">+(N88-M88)/O88</f>
        <v>-0.0256410256410256</v>
      </c>
      <c r="Q88" s="2" t="n">
        <v>0</v>
      </c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15.75" hidden="false" customHeight="true" outlineLevel="0" collapsed="false">
      <c r="A89" s="117" t="s">
        <v>32</v>
      </c>
      <c r="B89" s="54" t="s">
        <v>82</v>
      </c>
      <c r="C89" s="96" t="s">
        <v>83</v>
      </c>
      <c r="D89" s="50" t="n">
        <v>0</v>
      </c>
      <c r="E89" s="50" t="n">
        <v>0</v>
      </c>
      <c r="F89" s="50" t="n">
        <f aca="false">SUM(D89+E89)</f>
        <v>0</v>
      </c>
      <c r="G89" s="50" t="n">
        <v>0</v>
      </c>
      <c r="H89" s="50" t="n">
        <v>0</v>
      </c>
      <c r="I89" s="50" t="n">
        <v>0</v>
      </c>
      <c r="J89" s="50" t="n">
        <v>74</v>
      </c>
      <c r="K89" s="50" t="n">
        <v>81</v>
      </c>
      <c r="L89" s="93" t="n">
        <v>155</v>
      </c>
      <c r="M89" s="50" t="n">
        <v>74</v>
      </c>
      <c r="N89" s="50" t="n">
        <v>81</v>
      </c>
      <c r="O89" s="51" t="n">
        <v>155</v>
      </c>
      <c r="P89" s="52" t="n">
        <f aca="false">+(N89-M89)/O89</f>
        <v>0.0451612903225806</v>
      </c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15.75" hidden="false" customHeight="true" outlineLevel="0" collapsed="false">
      <c r="A90" s="117" t="s">
        <v>32</v>
      </c>
      <c r="B90" s="54" t="s">
        <v>84</v>
      </c>
      <c r="C90" s="96" t="s">
        <v>80</v>
      </c>
      <c r="D90" s="50" t="n">
        <v>0</v>
      </c>
      <c r="E90" s="50" t="n">
        <v>0</v>
      </c>
      <c r="F90" s="50" t="n">
        <f aca="false">SUM(D90+E90)</f>
        <v>0</v>
      </c>
      <c r="G90" s="50" t="n">
        <v>0</v>
      </c>
      <c r="H90" s="50" t="n">
        <v>0</v>
      </c>
      <c r="I90" s="50" t="n">
        <v>0</v>
      </c>
      <c r="J90" s="50" t="n">
        <v>39</v>
      </c>
      <c r="K90" s="50" t="n">
        <v>53</v>
      </c>
      <c r="L90" s="93" t="n">
        <v>92</v>
      </c>
      <c r="M90" s="50" t="n">
        <v>39</v>
      </c>
      <c r="N90" s="50" t="n">
        <v>53</v>
      </c>
      <c r="O90" s="51" t="n">
        <v>92</v>
      </c>
      <c r="P90" s="52" t="n">
        <f aca="false">+(N90-M90)/O90</f>
        <v>0.152173913043478</v>
      </c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15.75" hidden="false" customHeight="true" outlineLevel="0" collapsed="false">
      <c r="A91" s="117" t="s">
        <v>30</v>
      </c>
      <c r="B91" s="48" t="s">
        <v>84</v>
      </c>
      <c r="C91" s="96" t="s">
        <v>80</v>
      </c>
      <c r="D91" s="50" t="n">
        <v>0</v>
      </c>
      <c r="E91" s="50" t="n">
        <v>0</v>
      </c>
      <c r="F91" s="50" t="n">
        <f aca="false">SUM(D91+E91)</f>
        <v>0</v>
      </c>
      <c r="G91" s="50" t="n">
        <v>0</v>
      </c>
      <c r="H91" s="50" t="n">
        <v>0</v>
      </c>
      <c r="I91" s="50" t="n">
        <v>0</v>
      </c>
      <c r="J91" s="50" t="n">
        <v>47</v>
      </c>
      <c r="K91" s="50" t="n">
        <v>76</v>
      </c>
      <c r="L91" s="93" t="n">
        <v>123</v>
      </c>
      <c r="M91" s="50" t="n">
        <v>47</v>
      </c>
      <c r="N91" s="50" t="n">
        <v>76</v>
      </c>
      <c r="O91" s="51" t="n">
        <v>123</v>
      </c>
      <c r="P91" s="52" t="n">
        <f aca="false">+(N91-M91)/O91</f>
        <v>0.235772357723577</v>
      </c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15.75" hidden="false" customHeight="true" outlineLevel="0" collapsed="false">
      <c r="A92" s="117" t="s">
        <v>32</v>
      </c>
      <c r="B92" s="54" t="s">
        <v>85</v>
      </c>
      <c r="C92" s="96" t="s">
        <v>80</v>
      </c>
      <c r="D92" s="50" t="n">
        <v>0</v>
      </c>
      <c r="E92" s="50" t="n">
        <v>0</v>
      </c>
      <c r="F92" s="50" t="n">
        <f aca="false">SUM(D92+E92)</f>
        <v>0</v>
      </c>
      <c r="G92" s="50" t="n">
        <v>0</v>
      </c>
      <c r="H92" s="50" t="n">
        <v>0</v>
      </c>
      <c r="I92" s="50" t="n">
        <v>0</v>
      </c>
      <c r="J92" s="50" t="n">
        <v>149</v>
      </c>
      <c r="K92" s="50" t="n">
        <v>156</v>
      </c>
      <c r="L92" s="93" t="n">
        <v>305</v>
      </c>
      <c r="M92" s="50" t="n">
        <v>149</v>
      </c>
      <c r="N92" s="50" t="n">
        <v>156</v>
      </c>
      <c r="O92" s="51" t="n">
        <v>305</v>
      </c>
      <c r="P92" s="52" t="n">
        <f aca="false">+(N92-M92)/O92</f>
        <v>0.0229508196721311</v>
      </c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15.75" hidden="false" customHeight="true" outlineLevel="0" collapsed="false">
      <c r="A93" s="117" t="s">
        <v>29</v>
      </c>
      <c r="B93" s="48" t="s">
        <v>85</v>
      </c>
      <c r="C93" s="96" t="s">
        <v>80</v>
      </c>
      <c r="D93" s="50" t="n">
        <v>0</v>
      </c>
      <c r="E93" s="50" t="n">
        <v>0</v>
      </c>
      <c r="F93" s="50" t="n">
        <f aca="false">SUM(D93+E93)</f>
        <v>0</v>
      </c>
      <c r="G93" s="50" t="n">
        <v>0</v>
      </c>
      <c r="H93" s="50" t="n">
        <v>0</v>
      </c>
      <c r="I93" s="50" t="n">
        <v>0</v>
      </c>
      <c r="J93" s="50" t="n">
        <v>145</v>
      </c>
      <c r="K93" s="50" t="n">
        <v>153</v>
      </c>
      <c r="L93" s="93" t="n">
        <v>298</v>
      </c>
      <c r="M93" s="50" t="n">
        <v>145</v>
      </c>
      <c r="N93" s="50" t="n">
        <v>153</v>
      </c>
      <c r="O93" s="51" t="n">
        <v>298</v>
      </c>
      <c r="P93" s="52" t="n">
        <f aca="false">+(N93-M93)/O93</f>
        <v>0.0268456375838926</v>
      </c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15.75" hidden="false" customHeight="true" outlineLevel="0" collapsed="false">
      <c r="A94" s="117" t="s">
        <v>34</v>
      </c>
      <c r="B94" s="54" t="s">
        <v>85</v>
      </c>
      <c r="C94" s="96" t="s">
        <v>80</v>
      </c>
      <c r="D94" s="50" t="n">
        <v>0</v>
      </c>
      <c r="E94" s="50" t="n">
        <v>0</v>
      </c>
      <c r="F94" s="50" t="n">
        <f aca="false">SUM(D94+E94)</f>
        <v>0</v>
      </c>
      <c r="G94" s="50" t="n">
        <v>0</v>
      </c>
      <c r="H94" s="50" t="n">
        <v>0</v>
      </c>
      <c r="I94" s="50" t="n">
        <v>0</v>
      </c>
      <c r="J94" s="50" t="n">
        <v>131</v>
      </c>
      <c r="K94" s="50" t="n">
        <v>169</v>
      </c>
      <c r="L94" s="93" t="n">
        <v>300</v>
      </c>
      <c r="M94" s="50" t="n">
        <v>131</v>
      </c>
      <c r="N94" s="50" t="n">
        <v>169</v>
      </c>
      <c r="O94" s="51" t="n">
        <v>300</v>
      </c>
      <c r="P94" s="52" t="n">
        <f aca="false">+(N94-M94)/O94</f>
        <v>0.126666666666667</v>
      </c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15.75" hidden="false" customHeight="true" outlineLevel="0" collapsed="false">
      <c r="A95" s="117" t="s">
        <v>34</v>
      </c>
      <c r="B95" s="48" t="s">
        <v>86</v>
      </c>
      <c r="C95" s="96" t="s">
        <v>83</v>
      </c>
      <c r="D95" s="50" t="n">
        <v>0</v>
      </c>
      <c r="E95" s="50" t="n">
        <v>0</v>
      </c>
      <c r="F95" s="50" t="n">
        <f aca="false">SUM(D95+E95)</f>
        <v>0</v>
      </c>
      <c r="G95" s="50" t="n">
        <v>0</v>
      </c>
      <c r="H95" s="50" t="n">
        <v>0</v>
      </c>
      <c r="I95" s="50" t="n">
        <v>0</v>
      </c>
      <c r="J95" s="50" t="n">
        <v>69</v>
      </c>
      <c r="K95" s="50" t="n">
        <v>83</v>
      </c>
      <c r="L95" s="93" t="n">
        <v>152</v>
      </c>
      <c r="M95" s="50" t="n">
        <v>69</v>
      </c>
      <c r="N95" s="50" t="n">
        <v>83</v>
      </c>
      <c r="O95" s="51" t="n">
        <v>152</v>
      </c>
      <c r="P95" s="52" t="n">
        <f aca="false">+(N95-M95)/O95</f>
        <v>0.0921052631578947</v>
      </c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15.75" hidden="false" customHeight="true" outlineLevel="0" collapsed="false">
      <c r="A96" s="117" t="s">
        <v>32</v>
      </c>
      <c r="B96" s="54" t="s">
        <v>87</v>
      </c>
      <c r="C96" s="96" t="s">
        <v>88</v>
      </c>
      <c r="D96" s="50" t="n">
        <v>0</v>
      </c>
      <c r="E96" s="50" t="n">
        <v>0</v>
      </c>
      <c r="F96" s="50" t="n">
        <f aca="false">SUM(D96+E96)</f>
        <v>0</v>
      </c>
      <c r="G96" s="50" t="n">
        <v>0</v>
      </c>
      <c r="H96" s="50" t="n">
        <v>0</v>
      </c>
      <c r="I96" s="50" t="n">
        <v>0</v>
      </c>
      <c r="J96" s="50" t="n">
        <v>72</v>
      </c>
      <c r="K96" s="50" t="n">
        <v>78</v>
      </c>
      <c r="L96" s="93" t="n">
        <v>150</v>
      </c>
      <c r="M96" s="50" t="n">
        <v>72</v>
      </c>
      <c r="N96" s="50" t="n">
        <v>78</v>
      </c>
      <c r="O96" s="51" t="n">
        <v>150</v>
      </c>
      <c r="P96" s="52" t="n">
        <f aca="false">+(N96-M96)/O96</f>
        <v>0.04</v>
      </c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15.75" hidden="false" customHeight="true" outlineLevel="0" collapsed="false">
      <c r="A97" s="117" t="s">
        <v>89</v>
      </c>
      <c r="B97" s="54" t="s">
        <v>90</v>
      </c>
      <c r="C97" s="96" t="s">
        <v>80</v>
      </c>
      <c r="D97" s="50" t="n">
        <v>0</v>
      </c>
      <c r="E97" s="50" t="n">
        <v>0</v>
      </c>
      <c r="F97" s="50" t="n">
        <f aca="false">SUM(D97+E97)</f>
        <v>0</v>
      </c>
      <c r="G97" s="50" t="n">
        <v>0</v>
      </c>
      <c r="H97" s="50" t="n">
        <v>0</v>
      </c>
      <c r="I97" s="50" t="n">
        <v>0</v>
      </c>
      <c r="J97" s="118" t="n">
        <v>12</v>
      </c>
      <c r="K97" s="118" t="n">
        <v>19</v>
      </c>
      <c r="L97" s="93" t="n">
        <v>31</v>
      </c>
      <c r="M97" s="50" t="n">
        <v>12</v>
      </c>
      <c r="N97" s="50" t="n">
        <v>19</v>
      </c>
      <c r="O97" s="51" t="n">
        <v>31</v>
      </c>
      <c r="P97" s="52" t="n">
        <f aca="false">+(N97-M97)/O97</f>
        <v>0.225806451612903</v>
      </c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15.75" hidden="false" customHeight="true" outlineLevel="0" collapsed="false">
      <c r="A98" s="119" t="s">
        <v>32</v>
      </c>
      <c r="B98" s="120" t="s">
        <v>91</v>
      </c>
      <c r="C98" s="96" t="s">
        <v>80</v>
      </c>
      <c r="D98" s="50" t="n">
        <v>0</v>
      </c>
      <c r="E98" s="50" t="n">
        <v>0</v>
      </c>
      <c r="F98" s="50" t="n">
        <f aca="false">SUM(D98+E98)</f>
        <v>0</v>
      </c>
      <c r="G98" s="73" t="n">
        <v>0</v>
      </c>
      <c r="H98" s="73" t="n">
        <v>0</v>
      </c>
      <c r="I98" s="50" t="n">
        <v>0</v>
      </c>
      <c r="J98" s="121" t="n">
        <v>48</v>
      </c>
      <c r="K98" s="121" t="n">
        <v>57</v>
      </c>
      <c r="L98" s="93" t="n">
        <v>105</v>
      </c>
      <c r="M98" s="50" t="n">
        <v>48</v>
      </c>
      <c r="N98" s="50" t="n">
        <v>57</v>
      </c>
      <c r="O98" s="51" t="n">
        <v>105</v>
      </c>
      <c r="P98" s="52" t="n">
        <f aca="false">+(N98-M98)/O98</f>
        <v>0.0857142857142857</v>
      </c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15.75" hidden="false" customHeight="true" outlineLevel="0" collapsed="false">
      <c r="A99" s="119" t="s">
        <v>30</v>
      </c>
      <c r="B99" s="120" t="s">
        <v>92</v>
      </c>
      <c r="C99" s="96" t="s">
        <v>83</v>
      </c>
      <c r="D99" s="50" t="n">
        <v>0</v>
      </c>
      <c r="E99" s="50" t="n">
        <v>0</v>
      </c>
      <c r="F99" s="50" t="n">
        <f aca="false">SUM(D99+E99)</f>
        <v>0</v>
      </c>
      <c r="G99" s="73" t="n">
        <v>0</v>
      </c>
      <c r="H99" s="73" t="n">
        <v>0</v>
      </c>
      <c r="I99" s="50" t="n">
        <v>0</v>
      </c>
      <c r="J99" s="121" t="n">
        <v>45</v>
      </c>
      <c r="K99" s="121" t="n">
        <v>66</v>
      </c>
      <c r="L99" s="93" t="n">
        <v>111</v>
      </c>
      <c r="M99" s="50" t="n">
        <v>45</v>
      </c>
      <c r="N99" s="50" t="n">
        <v>66</v>
      </c>
      <c r="O99" s="51" t="n">
        <v>111</v>
      </c>
      <c r="P99" s="52" t="n">
        <f aca="false">+(N99-M99)/O99</f>
        <v>0.189189189189189</v>
      </c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15.75" hidden="false" customHeight="true" outlineLevel="0" collapsed="false">
      <c r="A100" s="119" t="s">
        <v>32</v>
      </c>
      <c r="B100" s="120" t="s">
        <v>93</v>
      </c>
      <c r="C100" s="72" t="s">
        <v>80</v>
      </c>
      <c r="D100" s="50" t="n">
        <v>0</v>
      </c>
      <c r="E100" s="50" t="n">
        <v>0</v>
      </c>
      <c r="F100" s="73" t="n">
        <f aca="false">SUM(D100+E100)</f>
        <v>0</v>
      </c>
      <c r="G100" s="73" t="n">
        <v>0</v>
      </c>
      <c r="H100" s="73" t="n">
        <v>0</v>
      </c>
      <c r="I100" s="73" t="n">
        <v>0</v>
      </c>
      <c r="J100" s="121" t="n">
        <v>87</v>
      </c>
      <c r="K100" s="121" t="n">
        <v>146</v>
      </c>
      <c r="L100" s="122" t="n">
        <v>233</v>
      </c>
      <c r="M100" s="73" t="n">
        <v>87</v>
      </c>
      <c r="N100" s="73" t="n">
        <v>146</v>
      </c>
      <c r="O100" s="74" t="n">
        <v>233</v>
      </c>
      <c r="P100" s="52" t="n">
        <f aca="false">+(N100-M100)/O100</f>
        <v>0.253218884120172</v>
      </c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15.75" hidden="false" customHeight="true" outlineLevel="0" collapsed="false">
      <c r="A101" s="64" t="s">
        <v>46</v>
      </c>
      <c r="B101" s="64"/>
      <c r="C101" s="64"/>
      <c r="D101" s="44" t="n">
        <f aca="false">SUM(D84:D100)</f>
        <v>0</v>
      </c>
      <c r="E101" s="44" t="n">
        <f aca="false">SUM(E84:E100)</f>
        <v>0</v>
      </c>
      <c r="F101" s="44" t="n">
        <f aca="false">SUM(F84:F100)</f>
        <v>0</v>
      </c>
      <c r="G101" s="44" t="n">
        <f aca="false">SUM(G84:G100)</f>
        <v>0</v>
      </c>
      <c r="H101" s="44" t="n">
        <f aca="false">SUM(H84:H100)</f>
        <v>0</v>
      </c>
      <c r="I101" s="44" t="n">
        <f aca="false">SUM(I84:I100)</f>
        <v>0</v>
      </c>
      <c r="J101" s="44" t="n">
        <f aca="false">SUM(J84:J100)</f>
        <v>1437</v>
      </c>
      <c r="K101" s="44" t="n">
        <f aca="false">SUM(K84:K100)</f>
        <v>1760</v>
      </c>
      <c r="L101" s="44" t="n">
        <f aca="false">SUM(L84:L100)</f>
        <v>3197</v>
      </c>
      <c r="M101" s="44" t="n">
        <f aca="false">SUM(M84:M100)</f>
        <v>1437</v>
      </c>
      <c r="N101" s="44" t="n">
        <f aca="false">SUM(N84:N100)</f>
        <v>1760</v>
      </c>
      <c r="O101" s="45" t="n">
        <f aca="false">SUM(O84:O100)</f>
        <v>3197</v>
      </c>
      <c r="P101" s="52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30" hidden="false" customHeight="true" outlineLevel="0" collapsed="false">
      <c r="A102" s="67"/>
      <c r="B102" s="67"/>
      <c r="C102" s="6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52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15.75" hidden="false" customHeight="true" outlineLevel="0" collapsed="false">
      <c r="A103" s="68" t="s">
        <v>47</v>
      </c>
      <c r="B103" s="69"/>
      <c r="C103" s="69"/>
      <c r="D103" s="44" t="s">
        <v>23</v>
      </c>
      <c r="E103" s="44" t="s">
        <v>24</v>
      </c>
      <c r="F103" s="44" t="s">
        <v>25</v>
      </c>
      <c r="G103" s="44" t="s">
        <v>23</v>
      </c>
      <c r="H103" s="44" t="s">
        <v>24</v>
      </c>
      <c r="I103" s="44" t="s">
        <v>25</v>
      </c>
      <c r="J103" s="44" t="s">
        <v>23</v>
      </c>
      <c r="K103" s="44" t="s">
        <v>24</v>
      </c>
      <c r="L103" s="44" t="s">
        <v>25</v>
      </c>
      <c r="M103" s="44" t="s">
        <v>23</v>
      </c>
      <c r="N103" s="44" t="s">
        <v>24</v>
      </c>
      <c r="O103" s="45" t="s">
        <v>25</v>
      </c>
      <c r="P103" s="52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15.75" hidden="false" customHeight="true" outlineLevel="0" collapsed="false">
      <c r="A104" s="92" t="s">
        <v>69</v>
      </c>
      <c r="B104" s="49"/>
      <c r="C104" s="49"/>
      <c r="D104" s="93"/>
      <c r="E104" s="49"/>
      <c r="F104" s="49"/>
      <c r="G104" s="49"/>
      <c r="H104" s="49"/>
      <c r="I104" s="93"/>
      <c r="J104" s="93"/>
      <c r="K104" s="93"/>
      <c r="L104" s="93"/>
      <c r="M104" s="93"/>
      <c r="N104" s="93"/>
      <c r="O104" s="94"/>
      <c r="P104" s="52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15.75" hidden="false" customHeight="true" outlineLevel="0" collapsed="false">
      <c r="A105" s="95" t="s">
        <v>70</v>
      </c>
      <c r="B105" s="96"/>
      <c r="C105" s="96"/>
      <c r="D105" s="50"/>
      <c r="E105" s="123"/>
      <c r="F105" s="123"/>
      <c r="G105" s="123"/>
      <c r="H105" s="123"/>
      <c r="I105" s="50"/>
      <c r="J105" s="50"/>
      <c r="K105" s="50"/>
      <c r="L105" s="50"/>
      <c r="M105" s="50"/>
      <c r="N105" s="50"/>
      <c r="O105" s="51"/>
      <c r="P105" s="52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15.75" hidden="false" customHeight="true" outlineLevel="0" collapsed="false">
      <c r="A106" s="97" t="s">
        <v>71</v>
      </c>
      <c r="B106" s="98"/>
      <c r="C106" s="98"/>
      <c r="D106" s="124"/>
      <c r="E106" s="125"/>
      <c r="F106" s="125"/>
      <c r="G106" s="125"/>
      <c r="H106" s="125"/>
      <c r="I106" s="124"/>
      <c r="J106" s="124"/>
      <c r="K106" s="124"/>
      <c r="L106" s="124"/>
      <c r="M106" s="124"/>
      <c r="N106" s="124"/>
      <c r="O106" s="126"/>
      <c r="P106" s="52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15.75" hidden="false" customHeight="true" outlineLevel="0" collapsed="false">
      <c r="A107" s="64" t="s">
        <v>46</v>
      </c>
      <c r="B107" s="64"/>
      <c r="C107" s="64"/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</v>
      </c>
      <c r="L107" s="44" t="n">
        <v>0</v>
      </c>
      <c r="M107" s="44" t="n">
        <v>0</v>
      </c>
      <c r="N107" s="44" t="n">
        <v>0</v>
      </c>
      <c r="O107" s="45" t="n">
        <v>0</v>
      </c>
      <c r="P107" s="52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30" hidden="false" customHeight="true" outlineLevel="0" collapsed="false">
      <c r="A108" s="75"/>
      <c r="B108" s="76"/>
      <c r="C108" s="76"/>
      <c r="D108" s="2"/>
      <c r="E108" s="77"/>
      <c r="F108" s="77"/>
      <c r="G108" s="77"/>
      <c r="H108" s="77"/>
      <c r="I108" s="2"/>
      <c r="J108" s="2"/>
      <c r="K108" s="2"/>
      <c r="L108" s="2"/>
      <c r="M108" s="2"/>
      <c r="N108" s="2"/>
      <c r="O108" s="2"/>
      <c r="P108" s="52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15.75" hidden="false" customHeight="true" outlineLevel="0" collapsed="false">
      <c r="A109" s="78" t="s">
        <v>48</v>
      </c>
      <c r="B109" s="69"/>
      <c r="C109" s="69"/>
      <c r="D109" s="44" t="s">
        <v>23</v>
      </c>
      <c r="E109" s="44" t="s">
        <v>24</v>
      </c>
      <c r="F109" s="44" t="s">
        <v>25</v>
      </c>
      <c r="G109" s="44" t="s">
        <v>23</v>
      </c>
      <c r="H109" s="44" t="s">
        <v>24</v>
      </c>
      <c r="I109" s="44" t="s">
        <v>25</v>
      </c>
      <c r="J109" s="44" t="s">
        <v>23</v>
      </c>
      <c r="K109" s="44" t="s">
        <v>24</v>
      </c>
      <c r="L109" s="44" t="s">
        <v>25</v>
      </c>
      <c r="M109" s="44" t="s">
        <v>23</v>
      </c>
      <c r="N109" s="44" t="s">
        <v>24</v>
      </c>
      <c r="O109" s="45" t="s">
        <v>25</v>
      </c>
      <c r="P109" s="52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15.75" hidden="false" customHeight="true" outlineLevel="0" collapsed="false">
      <c r="A110" s="79" t="s">
        <v>94</v>
      </c>
      <c r="B110" s="127" t="s">
        <v>95</v>
      </c>
      <c r="C110" s="49" t="s">
        <v>80</v>
      </c>
      <c r="D110" s="50" t="n">
        <v>0</v>
      </c>
      <c r="E110" s="50" t="n">
        <v>0</v>
      </c>
      <c r="F110" s="50" t="n">
        <v>0</v>
      </c>
      <c r="G110" s="50" t="n">
        <v>0</v>
      </c>
      <c r="H110" s="50" t="n">
        <v>0</v>
      </c>
      <c r="I110" s="50" t="n">
        <v>0</v>
      </c>
      <c r="J110" s="93" t="n">
        <v>79</v>
      </c>
      <c r="K110" s="93" t="n">
        <v>135</v>
      </c>
      <c r="L110" s="93" t="n">
        <v>214</v>
      </c>
      <c r="M110" s="50" t="n">
        <v>79</v>
      </c>
      <c r="N110" s="50" t="n">
        <v>135</v>
      </c>
      <c r="O110" s="51" t="n">
        <v>214</v>
      </c>
      <c r="P110" s="52" t="n">
        <f aca="false">+(N110-M110)/O110</f>
        <v>0.261682242990654</v>
      </c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15.75" hidden="false" customHeight="true" outlineLevel="0" collapsed="false">
      <c r="A111" s="80" t="s">
        <v>96</v>
      </c>
      <c r="B111" s="128" t="s">
        <v>95</v>
      </c>
      <c r="C111" s="49" t="s">
        <v>80</v>
      </c>
      <c r="D111" s="50" t="n">
        <v>0</v>
      </c>
      <c r="E111" s="50" t="n">
        <v>0</v>
      </c>
      <c r="F111" s="50" t="n">
        <v>0</v>
      </c>
      <c r="G111" s="50" t="n">
        <v>0</v>
      </c>
      <c r="H111" s="50" t="n">
        <v>0</v>
      </c>
      <c r="I111" s="50" t="n">
        <v>0</v>
      </c>
      <c r="J111" s="50" t="n">
        <v>80</v>
      </c>
      <c r="K111" s="50" t="n">
        <v>117</v>
      </c>
      <c r="L111" s="93" t="n">
        <v>197</v>
      </c>
      <c r="M111" s="50" t="n">
        <v>80</v>
      </c>
      <c r="N111" s="50" t="n">
        <v>117</v>
      </c>
      <c r="O111" s="51" t="n">
        <v>197</v>
      </c>
      <c r="P111" s="52" t="n">
        <f aca="false">+(N111-M111)/O111</f>
        <v>0.187817258883249</v>
      </c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15.75" hidden="false" customHeight="true" outlineLevel="0" collapsed="false">
      <c r="A112" s="81" t="s">
        <v>56</v>
      </c>
      <c r="B112" s="129" t="s">
        <v>95</v>
      </c>
      <c r="C112" s="57" t="s">
        <v>80</v>
      </c>
      <c r="D112" s="58" t="n">
        <v>0</v>
      </c>
      <c r="E112" s="58" t="n">
        <v>0</v>
      </c>
      <c r="F112" s="58" t="n">
        <v>0</v>
      </c>
      <c r="G112" s="58" t="n">
        <v>0</v>
      </c>
      <c r="H112" s="58" t="n">
        <v>0</v>
      </c>
      <c r="I112" s="58" t="n">
        <v>0</v>
      </c>
      <c r="J112" s="58" t="n">
        <v>38</v>
      </c>
      <c r="K112" s="58" t="n">
        <v>22</v>
      </c>
      <c r="L112" s="103" t="n">
        <v>60</v>
      </c>
      <c r="M112" s="58" t="n">
        <v>38</v>
      </c>
      <c r="N112" s="58" t="n">
        <v>22</v>
      </c>
      <c r="O112" s="59" t="n">
        <v>60</v>
      </c>
      <c r="P112" s="52" t="n">
        <f aca="false">+(N112-M112)/O112</f>
        <v>-0.266666666666667</v>
      </c>
      <c r="Q112" s="2" t="n">
        <v>0</v>
      </c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15.75" hidden="false" customHeight="true" outlineLevel="0" collapsed="false">
      <c r="A113" s="81" t="s">
        <v>97</v>
      </c>
      <c r="B113" s="130" t="s">
        <v>98</v>
      </c>
      <c r="C113" s="57" t="s">
        <v>80</v>
      </c>
      <c r="D113" s="58" t="n">
        <v>0</v>
      </c>
      <c r="E113" s="58" t="n">
        <v>0</v>
      </c>
      <c r="F113" s="58" t="n">
        <v>0</v>
      </c>
      <c r="G113" s="58" t="n">
        <v>0</v>
      </c>
      <c r="H113" s="58" t="n">
        <v>0</v>
      </c>
      <c r="I113" s="58" t="n">
        <v>0</v>
      </c>
      <c r="J113" s="58" t="n">
        <v>265</v>
      </c>
      <c r="K113" s="58" t="n">
        <v>111</v>
      </c>
      <c r="L113" s="103" t="n">
        <v>376</v>
      </c>
      <c r="M113" s="58" t="n">
        <v>265</v>
      </c>
      <c r="N113" s="58" t="n">
        <v>111</v>
      </c>
      <c r="O113" s="59" t="n">
        <v>376</v>
      </c>
      <c r="P113" s="60" t="n">
        <f aca="false">+(N113-M113)/O113</f>
        <v>-0.409574468085106</v>
      </c>
      <c r="Q113" s="61" t="n">
        <v>1</v>
      </c>
      <c r="R113" s="81" t="s">
        <v>97</v>
      </c>
      <c r="S113" s="46"/>
      <c r="T113" s="46"/>
      <c r="U113" s="46"/>
      <c r="V113" s="46"/>
      <c r="W113" s="46"/>
      <c r="X113" s="46"/>
      <c r="Y113" s="46"/>
      <c r="Z113" s="46"/>
    </row>
    <row r="114" customFormat="false" ht="15.75" hidden="false" customHeight="true" outlineLevel="0" collapsed="false">
      <c r="A114" s="80" t="s">
        <v>99</v>
      </c>
      <c r="B114" s="131" t="s">
        <v>98</v>
      </c>
      <c r="C114" s="49" t="s">
        <v>80</v>
      </c>
      <c r="D114" s="50" t="n">
        <v>0</v>
      </c>
      <c r="E114" s="50" t="n">
        <v>0</v>
      </c>
      <c r="F114" s="50" t="n">
        <v>0</v>
      </c>
      <c r="G114" s="50" t="n">
        <v>0</v>
      </c>
      <c r="H114" s="50" t="n">
        <v>0</v>
      </c>
      <c r="I114" s="50" t="n">
        <v>0</v>
      </c>
      <c r="J114" s="50" t="n">
        <v>31</v>
      </c>
      <c r="K114" s="50" t="n">
        <v>40</v>
      </c>
      <c r="L114" s="93" t="n">
        <v>71</v>
      </c>
      <c r="M114" s="50" t="n">
        <v>31</v>
      </c>
      <c r="N114" s="50" t="n">
        <v>40</v>
      </c>
      <c r="O114" s="51" t="n">
        <v>71</v>
      </c>
      <c r="P114" s="52" t="n">
        <f aca="false">+(N114-M114)/O114</f>
        <v>0.126760563380282</v>
      </c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15.75" hidden="false" customHeight="true" outlineLevel="0" collapsed="false">
      <c r="A115" s="70" t="s">
        <v>100</v>
      </c>
      <c r="B115" s="132" t="s">
        <v>101</v>
      </c>
      <c r="C115" s="86" t="s">
        <v>80</v>
      </c>
      <c r="D115" s="50" t="n">
        <v>0</v>
      </c>
      <c r="E115" s="50" t="n">
        <v>0</v>
      </c>
      <c r="F115" s="50" t="n">
        <v>0</v>
      </c>
      <c r="G115" s="73" t="n">
        <v>0</v>
      </c>
      <c r="H115" s="73" t="n">
        <v>0</v>
      </c>
      <c r="I115" s="73" t="n">
        <v>0</v>
      </c>
      <c r="J115" s="73" t="n">
        <v>100</v>
      </c>
      <c r="K115" s="73" t="n">
        <v>164</v>
      </c>
      <c r="L115" s="122" t="n">
        <v>264</v>
      </c>
      <c r="M115" s="73" t="n">
        <v>100</v>
      </c>
      <c r="N115" s="73" t="n">
        <v>164</v>
      </c>
      <c r="O115" s="74" t="n">
        <v>264</v>
      </c>
      <c r="P115" s="52" t="n">
        <f aca="false">+(N115-M115)/O115</f>
        <v>0.242424242424242</v>
      </c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15.75" hidden="false" customHeight="true" outlineLevel="0" collapsed="false">
      <c r="A116" s="64" t="s">
        <v>46</v>
      </c>
      <c r="B116" s="64"/>
      <c r="C116" s="64"/>
      <c r="D116" s="44" t="n">
        <f aca="false">SUM(D110:D115)</f>
        <v>0</v>
      </c>
      <c r="E116" s="44" t="n">
        <f aca="false">SUM(E110:E115)</f>
        <v>0</v>
      </c>
      <c r="F116" s="44" t="n">
        <f aca="false">SUM(F110:F115)</f>
        <v>0</v>
      </c>
      <c r="G116" s="44" t="n">
        <f aca="false">SUM(G110:G115)</f>
        <v>0</v>
      </c>
      <c r="H116" s="44" t="n">
        <f aca="false">SUM(H110:H115)</f>
        <v>0</v>
      </c>
      <c r="I116" s="44" t="n">
        <f aca="false">SUM(I110:I115)</f>
        <v>0</v>
      </c>
      <c r="J116" s="44" t="n">
        <f aca="false">SUM(J110:J115)</f>
        <v>593</v>
      </c>
      <c r="K116" s="44" t="n">
        <f aca="false">SUM(K110:K115)</f>
        <v>589</v>
      </c>
      <c r="L116" s="44" t="n">
        <f aca="false">SUM(L110:L115)</f>
        <v>1182</v>
      </c>
      <c r="M116" s="44" t="n">
        <f aca="false">SUM(M110:M115)</f>
        <v>593</v>
      </c>
      <c r="N116" s="44" t="n">
        <f aca="false">SUM(N110:N115)</f>
        <v>589</v>
      </c>
      <c r="O116" s="45" t="n">
        <f aca="false">SUM(O110:O115)</f>
        <v>1182</v>
      </c>
      <c r="P116" s="52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30" hidden="false" customHeight="true" outlineLevel="0" collapsed="false">
      <c r="A117" s="75"/>
      <c r="B117" s="76"/>
      <c r="C117" s="4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52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15.75" hidden="false" customHeight="true" outlineLevel="0" collapsed="false">
      <c r="A118" s="78" t="s">
        <v>68</v>
      </c>
      <c r="B118" s="89"/>
      <c r="C118" s="89"/>
      <c r="D118" s="44" t="s">
        <v>23</v>
      </c>
      <c r="E118" s="44" t="s">
        <v>24</v>
      </c>
      <c r="F118" s="44" t="s">
        <v>25</v>
      </c>
      <c r="G118" s="44" t="s">
        <v>23</v>
      </c>
      <c r="H118" s="44" t="s">
        <v>24</v>
      </c>
      <c r="I118" s="44" t="s">
        <v>25</v>
      </c>
      <c r="J118" s="44" t="s">
        <v>23</v>
      </c>
      <c r="K118" s="44" t="s">
        <v>24</v>
      </c>
      <c r="L118" s="44" t="s">
        <v>25</v>
      </c>
      <c r="M118" s="44" t="s">
        <v>23</v>
      </c>
      <c r="N118" s="44" t="s">
        <v>24</v>
      </c>
      <c r="O118" s="45" t="s">
        <v>25</v>
      </c>
      <c r="P118" s="90"/>
      <c r="Q118" s="7"/>
      <c r="R118" s="91"/>
      <c r="S118" s="91"/>
      <c r="T118" s="91"/>
      <c r="U118" s="91"/>
      <c r="V118" s="91"/>
      <c r="W118" s="91"/>
      <c r="X118" s="91"/>
      <c r="Y118" s="91"/>
      <c r="Z118" s="91"/>
    </row>
    <row r="119" customFormat="false" ht="15.75" hidden="false" customHeight="true" outlineLevel="0" collapsed="false">
      <c r="A119" s="92" t="s">
        <v>69</v>
      </c>
      <c r="B119" s="49"/>
      <c r="C119" s="49"/>
      <c r="D119" s="93"/>
      <c r="E119" s="93"/>
      <c r="F119" s="93"/>
      <c r="G119" s="93"/>
      <c r="H119" s="93"/>
      <c r="I119" s="49"/>
      <c r="J119" s="93"/>
      <c r="K119" s="93"/>
      <c r="L119" s="93"/>
      <c r="M119" s="93"/>
      <c r="N119" s="93"/>
      <c r="O119" s="94"/>
      <c r="P119" s="52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15.75" hidden="false" customHeight="true" outlineLevel="0" collapsed="false">
      <c r="A120" s="95" t="s">
        <v>70</v>
      </c>
      <c r="B120" s="96"/>
      <c r="C120" s="96"/>
      <c r="D120" s="50"/>
      <c r="E120" s="50"/>
      <c r="F120" s="50"/>
      <c r="G120" s="50"/>
      <c r="H120" s="50"/>
      <c r="I120" s="96"/>
      <c r="J120" s="50"/>
      <c r="K120" s="50"/>
      <c r="L120" s="50"/>
      <c r="M120" s="50"/>
      <c r="N120" s="50"/>
      <c r="O120" s="51"/>
      <c r="P120" s="52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15.75" hidden="false" customHeight="true" outlineLevel="0" collapsed="false">
      <c r="A121" s="97" t="s">
        <v>71</v>
      </c>
      <c r="B121" s="98"/>
      <c r="C121" s="98"/>
      <c r="D121" s="124"/>
      <c r="E121" s="124"/>
      <c r="F121" s="124"/>
      <c r="G121" s="124"/>
      <c r="H121" s="124"/>
      <c r="I121" s="98"/>
      <c r="J121" s="124"/>
      <c r="K121" s="124"/>
      <c r="L121" s="124"/>
      <c r="M121" s="124"/>
      <c r="N121" s="124"/>
      <c r="O121" s="126"/>
      <c r="P121" s="52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15.75" hidden="false" customHeight="true" outlineLevel="0" collapsed="false">
      <c r="A122" s="64" t="s">
        <v>46</v>
      </c>
      <c r="B122" s="64"/>
      <c r="C122" s="64"/>
      <c r="D122" s="44" t="n">
        <v>0</v>
      </c>
      <c r="E122" s="44" t="n">
        <v>0</v>
      </c>
      <c r="F122" s="44" t="n">
        <v>0</v>
      </c>
      <c r="G122" s="44" t="n">
        <v>0</v>
      </c>
      <c r="H122" s="44" t="n">
        <v>0</v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5" t="n">
        <v>0</v>
      </c>
      <c r="P122" s="52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31.5" hidden="false" customHeight="true" outlineLevel="0" collapsed="false">
      <c r="A123" s="67"/>
      <c r="B123" s="76"/>
      <c r="C123" s="76"/>
      <c r="D123" s="2"/>
      <c r="E123" s="2"/>
      <c r="F123" s="2"/>
      <c r="G123" s="2"/>
      <c r="H123" s="2"/>
      <c r="I123" s="76"/>
      <c r="J123" s="2"/>
      <c r="K123" s="2"/>
      <c r="L123" s="2"/>
      <c r="M123" s="2"/>
      <c r="N123" s="2"/>
      <c r="O123" s="2"/>
      <c r="P123" s="52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15.75" hidden="false" customHeight="true" outlineLevel="0" collapsed="false">
      <c r="A124" s="78" t="s">
        <v>72</v>
      </c>
      <c r="B124" s="69"/>
      <c r="C124" s="69"/>
      <c r="D124" s="44" t="s">
        <v>23</v>
      </c>
      <c r="E124" s="44" t="s">
        <v>24</v>
      </c>
      <c r="F124" s="44" t="s">
        <v>25</v>
      </c>
      <c r="G124" s="44" t="s">
        <v>23</v>
      </c>
      <c r="H124" s="44" t="s">
        <v>24</v>
      </c>
      <c r="I124" s="133" t="s">
        <v>25</v>
      </c>
      <c r="J124" s="44" t="s">
        <v>23</v>
      </c>
      <c r="K124" s="44" t="s">
        <v>24</v>
      </c>
      <c r="L124" s="133" t="s">
        <v>25</v>
      </c>
      <c r="M124" s="44" t="s">
        <v>23</v>
      </c>
      <c r="N124" s="44" t="s">
        <v>24</v>
      </c>
      <c r="O124" s="45" t="s">
        <v>25</v>
      </c>
      <c r="P124" s="52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15.75" hidden="false" customHeight="true" outlineLevel="0" collapsed="false">
      <c r="A125" s="134" t="s">
        <v>102</v>
      </c>
      <c r="B125" s="131" t="s">
        <v>103</v>
      </c>
      <c r="C125" s="135" t="s">
        <v>80</v>
      </c>
      <c r="D125" s="50" t="n">
        <v>0</v>
      </c>
      <c r="E125" s="50" t="n">
        <v>0</v>
      </c>
      <c r="F125" s="50" t="n">
        <v>0</v>
      </c>
      <c r="G125" s="136" t="n">
        <v>0</v>
      </c>
      <c r="H125" s="135" t="n">
        <v>0</v>
      </c>
      <c r="I125" s="135" t="n">
        <v>0</v>
      </c>
      <c r="J125" s="135" t="n">
        <v>3</v>
      </c>
      <c r="K125" s="135" t="n">
        <v>4</v>
      </c>
      <c r="L125" s="135" t="n">
        <v>7</v>
      </c>
      <c r="M125" s="50" t="n">
        <v>3</v>
      </c>
      <c r="N125" s="50" t="n">
        <v>4</v>
      </c>
      <c r="O125" s="51" t="n">
        <v>7</v>
      </c>
      <c r="P125" s="52" t="n">
        <f aca="false">+(N125-M125)/O125</f>
        <v>0.142857142857143</v>
      </c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15.75" hidden="false" customHeight="true" outlineLevel="0" collapsed="false">
      <c r="A126" s="137" t="s">
        <v>104</v>
      </c>
      <c r="B126" s="128" t="s">
        <v>105</v>
      </c>
      <c r="C126" s="93" t="s">
        <v>80</v>
      </c>
      <c r="D126" s="50" t="n">
        <v>0</v>
      </c>
      <c r="E126" s="50" t="n">
        <v>0</v>
      </c>
      <c r="F126" s="50" t="n">
        <v>0</v>
      </c>
      <c r="G126" s="105" t="n">
        <v>0</v>
      </c>
      <c r="H126" s="50" t="n">
        <v>0</v>
      </c>
      <c r="I126" s="50" t="n">
        <v>0</v>
      </c>
      <c r="J126" s="50" t="n">
        <v>1</v>
      </c>
      <c r="K126" s="50" t="n">
        <v>4</v>
      </c>
      <c r="L126" s="50" t="n">
        <v>5</v>
      </c>
      <c r="M126" s="50" t="n">
        <v>1</v>
      </c>
      <c r="N126" s="50" t="n">
        <v>4</v>
      </c>
      <c r="O126" s="51" t="n">
        <v>5</v>
      </c>
      <c r="P126" s="52" t="n">
        <f aca="false">+(N126-M126)/O126</f>
        <v>0.6</v>
      </c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15.75" hidden="false" customHeight="true" outlineLevel="0" collapsed="false">
      <c r="A127" s="138" t="s">
        <v>74</v>
      </c>
      <c r="B127" s="139" t="s">
        <v>106</v>
      </c>
      <c r="C127" s="86" t="s">
        <v>80</v>
      </c>
      <c r="D127" s="50" t="n">
        <v>0</v>
      </c>
      <c r="E127" s="50" t="n">
        <v>0</v>
      </c>
      <c r="F127" s="50" t="n">
        <v>0</v>
      </c>
      <c r="G127" s="140" t="n">
        <v>0</v>
      </c>
      <c r="H127" s="73" t="n">
        <v>0</v>
      </c>
      <c r="I127" s="73" t="n">
        <v>0</v>
      </c>
      <c r="J127" s="73" t="n">
        <v>4</v>
      </c>
      <c r="K127" s="73" t="n">
        <v>6</v>
      </c>
      <c r="L127" s="73" t="n">
        <v>10</v>
      </c>
      <c r="M127" s="73" t="n">
        <v>4</v>
      </c>
      <c r="N127" s="73" t="n">
        <v>6</v>
      </c>
      <c r="O127" s="74" t="n">
        <v>10</v>
      </c>
      <c r="P127" s="52" t="n">
        <f aca="false">+(N127-M127)/O127</f>
        <v>0.2</v>
      </c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15.75" hidden="false" customHeight="true" outlineLevel="0" collapsed="false">
      <c r="A128" s="109"/>
      <c r="B128" s="141" t="s">
        <v>46</v>
      </c>
      <c r="C128" s="141"/>
      <c r="D128" s="44" t="n">
        <f aca="false">SUM(D125:D127)</f>
        <v>0</v>
      </c>
      <c r="E128" s="44" t="n">
        <f aca="false">SUM(E125:E127)</f>
        <v>0</v>
      </c>
      <c r="F128" s="44" t="n">
        <f aca="false">SUM(F125:F127)</f>
        <v>0</v>
      </c>
      <c r="G128" s="44" t="n">
        <f aca="false">SUM(G125:G127)</f>
        <v>0</v>
      </c>
      <c r="H128" s="44" t="n">
        <f aca="false">SUM(H125:H127)</f>
        <v>0</v>
      </c>
      <c r="I128" s="44" t="n">
        <f aca="false">SUM(I125:I127)</f>
        <v>0</v>
      </c>
      <c r="J128" s="44" t="n">
        <f aca="false">SUM(J125:J127)</f>
        <v>8</v>
      </c>
      <c r="K128" s="44" t="n">
        <f aca="false">SUM(K125:K127)</f>
        <v>14</v>
      </c>
      <c r="L128" s="44" t="n">
        <f aca="false">SUM(L125:L127)</f>
        <v>22</v>
      </c>
      <c r="M128" s="44" t="n">
        <f aca="false">SUM(M125:M127)</f>
        <v>8</v>
      </c>
      <c r="N128" s="44" t="n">
        <f aca="false">SUM(N125:N127)</f>
        <v>14</v>
      </c>
      <c r="O128" s="45" t="n">
        <f aca="false">SUM(O125:O127)</f>
        <v>22</v>
      </c>
      <c r="P128" s="52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15.75" hidden="false" customHeight="true" outlineLevel="0" collapsed="false">
      <c r="A129" s="142"/>
      <c r="B129" s="76"/>
      <c r="C129" s="11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2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15.75" hidden="false" customHeight="true" outlineLevel="0" collapsed="false">
      <c r="A130" s="78" t="s">
        <v>76</v>
      </c>
      <c r="B130" s="69"/>
      <c r="C130" s="69"/>
      <c r="D130" s="44" t="s">
        <v>23</v>
      </c>
      <c r="E130" s="44" t="s">
        <v>24</v>
      </c>
      <c r="F130" s="44" t="s">
        <v>25</v>
      </c>
      <c r="G130" s="44" t="s">
        <v>23</v>
      </c>
      <c r="H130" s="44" t="s">
        <v>24</v>
      </c>
      <c r="I130" s="44" t="s">
        <v>25</v>
      </c>
      <c r="J130" s="44" t="s">
        <v>23</v>
      </c>
      <c r="K130" s="44" t="s">
        <v>24</v>
      </c>
      <c r="L130" s="44" t="s">
        <v>25</v>
      </c>
      <c r="M130" s="44" t="s">
        <v>23</v>
      </c>
      <c r="N130" s="44" t="s">
        <v>24</v>
      </c>
      <c r="O130" s="45" t="s">
        <v>25</v>
      </c>
      <c r="P130" s="52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15.75" hidden="false" customHeight="true" outlineLevel="0" collapsed="false">
      <c r="A131" s="92" t="s">
        <v>69</v>
      </c>
      <c r="B131" s="49"/>
      <c r="C131" s="49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4"/>
      <c r="P131" s="52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15.75" hidden="false" customHeight="true" outlineLevel="0" collapsed="false">
      <c r="A132" s="95" t="s">
        <v>70</v>
      </c>
      <c r="B132" s="96"/>
      <c r="C132" s="96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1"/>
      <c r="P132" s="52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15.75" hidden="false" customHeight="true" outlineLevel="0" collapsed="false">
      <c r="A133" s="110" t="s">
        <v>71</v>
      </c>
      <c r="B133" s="72"/>
      <c r="C133" s="72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4"/>
      <c r="P133" s="52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15.75" hidden="false" customHeight="true" outlineLevel="0" collapsed="false">
      <c r="A134" s="64" t="s">
        <v>46</v>
      </c>
      <c r="B134" s="64"/>
      <c r="C134" s="64"/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44" t="n">
        <v>0</v>
      </c>
      <c r="L134" s="44" t="n">
        <v>0</v>
      </c>
      <c r="M134" s="44" t="n">
        <v>0</v>
      </c>
      <c r="N134" s="44" t="n">
        <v>0</v>
      </c>
      <c r="O134" s="45" t="n">
        <v>0</v>
      </c>
      <c r="P134" s="52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15.75" hidden="false" customHeight="true" outlineLevel="0" collapsed="false">
      <c r="A135" s="143" t="s">
        <v>77</v>
      </c>
      <c r="B135" s="143"/>
      <c r="C135" s="143"/>
      <c r="D135" s="44" t="n">
        <f aca="false">D128+D116+D101</f>
        <v>0</v>
      </c>
      <c r="E135" s="44" t="n">
        <f aca="false">E128+E116+E101</f>
        <v>0</v>
      </c>
      <c r="F135" s="44" t="n">
        <f aca="false">F128+F116+F101</f>
        <v>0</v>
      </c>
      <c r="G135" s="44" t="n">
        <f aca="false">G128+G116+G101</f>
        <v>0</v>
      </c>
      <c r="H135" s="44" t="n">
        <f aca="false">H128+H116+H101</f>
        <v>0</v>
      </c>
      <c r="I135" s="44" t="n">
        <f aca="false">I128+I116+I101</f>
        <v>0</v>
      </c>
      <c r="J135" s="44" t="n">
        <f aca="false">J128+J116+J101</f>
        <v>2038</v>
      </c>
      <c r="K135" s="44" t="n">
        <f aca="false">K128+K116+K101</f>
        <v>2363</v>
      </c>
      <c r="L135" s="44" t="n">
        <f aca="false">L128+L116+L101</f>
        <v>4401</v>
      </c>
      <c r="M135" s="44" t="n">
        <f aca="false">M128+M116+M101</f>
        <v>2038</v>
      </c>
      <c r="N135" s="44" t="n">
        <f aca="false">N128+N116+N101</f>
        <v>2363</v>
      </c>
      <c r="O135" s="45" t="n">
        <f aca="false">O128+O116+O101</f>
        <v>4401</v>
      </c>
      <c r="P135" s="52"/>
    </row>
    <row r="136" customFormat="false" ht="15.75" hidden="false" customHeight="true" outlineLevel="0" collapsed="false">
      <c r="A136" s="112"/>
      <c r="B136" s="112"/>
      <c r="C136" s="11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2"/>
    </row>
    <row r="137" customFormat="false" ht="24" hidden="false" customHeight="true" outlineLevel="0" collapsed="false">
      <c r="A137" s="112"/>
      <c r="B137" s="112"/>
      <c r="C137" s="11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2"/>
    </row>
    <row r="138" customFormat="false" ht="24" hidden="false" customHeight="true" outlineLevel="0" collapsed="false">
      <c r="A138" s="112"/>
      <c r="B138" s="112"/>
      <c r="C138" s="11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2"/>
    </row>
    <row r="139" customFormat="false" ht="24" hidden="false" customHeight="true" outlineLevel="0" collapsed="false">
      <c r="A139" s="112"/>
      <c r="B139" s="112"/>
      <c r="C139" s="11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2"/>
    </row>
    <row r="140" customFormat="false" ht="15.75" hidden="false" customHeight="true" outlineLevel="0" collapsed="false">
      <c r="A140" s="34" t="s">
        <v>107</v>
      </c>
      <c r="B140" s="34"/>
      <c r="C140" s="34"/>
      <c r="D140" s="34"/>
      <c r="E140" s="34"/>
      <c r="F140" s="34"/>
      <c r="G140" s="35" t="s">
        <v>13</v>
      </c>
      <c r="H140" s="35"/>
      <c r="I140" s="35"/>
      <c r="J140" s="35"/>
      <c r="K140" s="35"/>
      <c r="L140" s="35"/>
      <c r="M140" s="35"/>
      <c r="N140" s="35"/>
      <c r="O140" s="35"/>
      <c r="P140" s="52"/>
    </row>
    <row r="141" customFormat="false" ht="24" hidden="false" customHeight="true" outlineLevel="0" collapsed="false">
      <c r="A141" s="35" t="s">
        <v>108</v>
      </c>
      <c r="B141" s="38" t="s">
        <v>16</v>
      </c>
      <c r="C141" s="38" t="s">
        <v>17</v>
      </c>
      <c r="D141" s="38" t="s">
        <v>18</v>
      </c>
      <c r="E141" s="38"/>
      <c r="F141" s="38"/>
      <c r="G141" s="38" t="s">
        <v>19</v>
      </c>
      <c r="H141" s="38"/>
      <c r="I141" s="38"/>
      <c r="J141" s="38" t="s">
        <v>20</v>
      </c>
      <c r="K141" s="38"/>
      <c r="L141" s="38"/>
      <c r="M141" s="38" t="s">
        <v>21</v>
      </c>
      <c r="N141" s="38"/>
      <c r="O141" s="38"/>
      <c r="P141" s="52"/>
      <c r="R141" s="40"/>
      <c r="S141" s="40"/>
      <c r="T141" s="40"/>
      <c r="U141" s="40"/>
      <c r="V141" s="40"/>
      <c r="W141" s="40"/>
      <c r="X141" s="40"/>
      <c r="Y141" s="40"/>
      <c r="Z141" s="40"/>
    </row>
    <row r="142" customFormat="false" ht="15.75" hidden="false" customHeight="true" outlineLevel="0" collapsed="false">
      <c r="A142" s="41" t="s">
        <v>109</v>
      </c>
      <c r="B142" s="42"/>
      <c r="C142" s="42"/>
      <c r="D142" s="43" t="s">
        <v>23</v>
      </c>
      <c r="E142" s="44" t="s">
        <v>24</v>
      </c>
      <c r="F142" s="45" t="s">
        <v>25</v>
      </c>
      <c r="G142" s="43" t="s">
        <v>23</v>
      </c>
      <c r="H142" s="44" t="s">
        <v>24</v>
      </c>
      <c r="I142" s="45" t="s">
        <v>25</v>
      </c>
      <c r="J142" s="43" t="s">
        <v>23</v>
      </c>
      <c r="K142" s="44" t="s">
        <v>24</v>
      </c>
      <c r="L142" s="45" t="s">
        <v>25</v>
      </c>
      <c r="M142" s="43" t="s">
        <v>23</v>
      </c>
      <c r="N142" s="44" t="s">
        <v>24</v>
      </c>
      <c r="O142" s="45" t="s">
        <v>25</v>
      </c>
      <c r="P142" s="52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15.75" hidden="false" customHeight="true" outlineLevel="0" collapsed="false">
      <c r="A143" s="47" t="s">
        <v>32</v>
      </c>
      <c r="B143" s="144" t="s">
        <v>110</v>
      </c>
      <c r="C143" s="93" t="s">
        <v>111</v>
      </c>
      <c r="D143" s="50" t="n">
        <v>0</v>
      </c>
      <c r="E143" s="50" t="n">
        <v>0</v>
      </c>
      <c r="F143" s="50" t="n">
        <v>0</v>
      </c>
      <c r="G143" s="50" t="n">
        <v>0</v>
      </c>
      <c r="H143" s="50" t="n">
        <v>0</v>
      </c>
      <c r="I143" s="50" t="n">
        <v>0</v>
      </c>
      <c r="J143" s="50" t="n">
        <v>584</v>
      </c>
      <c r="K143" s="50" t="n">
        <v>678</v>
      </c>
      <c r="L143" s="51" t="n">
        <v>1262</v>
      </c>
      <c r="M143" s="50" t="n">
        <v>584</v>
      </c>
      <c r="N143" s="50" t="n">
        <v>678</v>
      </c>
      <c r="O143" s="51" t="n">
        <v>1262</v>
      </c>
      <c r="P143" s="52" t="n">
        <f aca="false">+(N143-M143)/O143</f>
        <v>0.0744849445324881</v>
      </c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15.75" hidden="false" customHeight="true" outlineLevel="0" collapsed="false">
      <c r="A144" s="53" t="s">
        <v>40</v>
      </c>
      <c r="B144" s="144" t="s">
        <v>112</v>
      </c>
      <c r="C144" s="93" t="s">
        <v>111</v>
      </c>
      <c r="D144" s="50" t="n">
        <v>0</v>
      </c>
      <c r="E144" s="50" t="n">
        <v>0</v>
      </c>
      <c r="F144" s="50" t="n">
        <v>0</v>
      </c>
      <c r="G144" s="50" t="n">
        <v>0</v>
      </c>
      <c r="H144" s="50" t="n">
        <v>0</v>
      </c>
      <c r="I144" s="50" t="n">
        <v>0</v>
      </c>
      <c r="J144" s="50" t="n">
        <v>364</v>
      </c>
      <c r="K144" s="50" t="n">
        <v>498</v>
      </c>
      <c r="L144" s="51" t="n">
        <v>862</v>
      </c>
      <c r="M144" s="50" t="n">
        <v>364</v>
      </c>
      <c r="N144" s="50" t="n">
        <v>498</v>
      </c>
      <c r="O144" s="51" t="n">
        <v>862</v>
      </c>
      <c r="P144" s="52" t="n">
        <f aca="false">+(N144-M144)/O144</f>
        <v>0.155452436194896</v>
      </c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15.75" hidden="false" customHeight="true" outlineLevel="0" collapsed="false">
      <c r="A145" s="55" t="s">
        <v>31</v>
      </c>
      <c r="B145" s="145" t="s">
        <v>112</v>
      </c>
      <c r="C145" s="103" t="s">
        <v>111</v>
      </c>
      <c r="D145" s="58" t="n">
        <v>0</v>
      </c>
      <c r="E145" s="58" t="n">
        <v>0</v>
      </c>
      <c r="F145" s="58" t="n">
        <v>0</v>
      </c>
      <c r="G145" s="58" t="n">
        <v>0</v>
      </c>
      <c r="H145" s="58" t="n">
        <v>0</v>
      </c>
      <c r="I145" s="58" t="n">
        <v>0</v>
      </c>
      <c r="J145" s="58" t="n">
        <v>172</v>
      </c>
      <c r="K145" s="58" t="n">
        <v>156</v>
      </c>
      <c r="L145" s="59" t="n">
        <v>328</v>
      </c>
      <c r="M145" s="58" t="n">
        <v>172</v>
      </c>
      <c r="N145" s="58" t="n">
        <v>156</v>
      </c>
      <c r="O145" s="59" t="n">
        <v>328</v>
      </c>
      <c r="P145" s="60" t="n">
        <f aca="false">+(N145-M145)/O145</f>
        <v>-0.0487804878048781</v>
      </c>
      <c r="Q145" s="61" t="n">
        <v>1</v>
      </c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15.75" hidden="false" customHeight="true" outlineLevel="0" collapsed="false">
      <c r="A146" s="53" t="s">
        <v>32</v>
      </c>
      <c r="B146" s="144" t="s">
        <v>113</v>
      </c>
      <c r="C146" s="93" t="s">
        <v>111</v>
      </c>
      <c r="D146" s="50" t="n">
        <v>0</v>
      </c>
      <c r="E146" s="50" t="n">
        <v>0</v>
      </c>
      <c r="F146" s="50" t="n">
        <v>0</v>
      </c>
      <c r="G146" s="50" t="n">
        <v>0</v>
      </c>
      <c r="H146" s="50" t="n">
        <v>0</v>
      </c>
      <c r="I146" s="50" t="n">
        <v>0</v>
      </c>
      <c r="J146" s="50" t="n">
        <v>240</v>
      </c>
      <c r="K146" s="50" t="n">
        <v>295</v>
      </c>
      <c r="L146" s="51" t="n">
        <v>535</v>
      </c>
      <c r="M146" s="50" t="n">
        <v>240</v>
      </c>
      <c r="N146" s="50" t="n">
        <v>295</v>
      </c>
      <c r="O146" s="51" t="n">
        <v>535</v>
      </c>
      <c r="P146" s="52" t="n">
        <f aca="false">+(N146-M146)/O146</f>
        <v>0.102803738317757</v>
      </c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15.75" hidden="false" customHeight="true" outlineLevel="0" collapsed="false">
      <c r="A147" s="53" t="s">
        <v>32</v>
      </c>
      <c r="B147" s="144" t="s">
        <v>114</v>
      </c>
      <c r="C147" s="93" t="s">
        <v>111</v>
      </c>
      <c r="D147" s="50" t="n">
        <v>0</v>
      </c>
      <c r="E147" s="50" t="n">
        <v>0</v>
      </c>
      <c r="F147" s="50" t="n">
        <v>0</v>
      </c>
      <c r="G147" s="50" t="n">
        <v>0</v>
      </c>
      <c r="H147" s="50" t="n">
        <v>0</v>
      </c>
      <c r="I147" s="50" t="n">
        <v>0</v>
      </c>
      <c r="J147" s="50" t="n">
        <v>161</v>
      </c>
      <c r="K147" s="50" t="n">
        <v>189</v>
      </c>
      <c r="L147" s="51" t="n">
        <v>350</v>
      </c>
      <c r="M147" s="50" t="n">
        <v>161</v>
      </c>
      <c r="N147" s="50" t="n">
        <v>189</v>
      </c>
      <c r="O147" s="51" t="n">
        <v>350</v>
      </c>
      <c r="P147" s="52" t="n">
        <f aca="false">+(N147-M147)/O147</f>
        <v>0.08</v>
      </c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15.75" hidden="false" customHeight="true" outlineLevel="0" collapsed="false">
      <c r="A148" s="55" t="s">
        <v>115</v>
      </c>
      <c r="B148" s="145" t="s">
        <v>116</v>
      </c>
      <c r="C148" s="103" t="s">
        <v>111</v>
      </c>
      <c r="D148" s="58" t="n">
        <v>0</v>
      </c>
      <c r="E148" s="58" t="n">
        <v>0</v>
      </c>
      <c r="F148" s="58" t="n">
        <v>0</v>
      </c>
      <c r="G148" s="58" t="n">
        <v>0</v>
      </c>
      <c r="H148" s="58" t="n">
        <v>0</v>
      </c>
      <c r="I148" s="58" t="n">
        <v>0</v>
      </c>
      <c r="J148" s="58" t="n">
        <v>32</v>
      </c>
      <c r="K148" s="58" t="n">
        <v>28</v>
      </c>
      <c r="L148" s="59" t="n">
        <v>60</v>
      </c>
      <c r="M148" s="58" t="n">
        <v>32</v>
      </c>
      <c r="N148" s="58" t="n">
        <v>28</v>
      </c>
      <c r="O148" s="59" t="n">
        <v>60</v>
      </c>
      <c r="P148" s="52" t="n">
        <f aca="false">+(N148-M148)/O148</f>
        <v>-0.0666666666666667</v>
      </c>
      <c r="Q148" s="2" t="n">
        <v>0</v>
      </c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15.75" hidden="false" customHeight="true" outlineLevel="0" collapsed="false">
      <c r="A149" s="53" t="s">
        <v>32</v>
      </c>
      <c r="B149" s="144" t="s">
        <v>117</v>
      </c>
      <c r="C149" s="93" t="s">
        <v>111</v>
      </c>
      <c r="D149" s="50" t="n">
        <v>0</v>
      </c>
      <c r="E149" s="50" t="n">
        <v>0</v>
      </c>
      <c r="F149" s="50" t="n">
        <v>0</v>
      </c>
      <c r="G149" s="50" t="n">
        <v>0</v>
      </c>
      <c r="H149" s="50" t="n">
        <v>0</v>
      </c>
      <c r="I149" s="50" t="n">
        <v>0</v>
      </c>
      <c r="J149" s="50" t="n">
        <v>215</v>
      </c>
      <c r="K149" s="50" t="n">
        <v>294</v>
      </c>
      <c r="L149" s="51" t="n">
        <v>509</v>
      </c>
      <c r="M149" s="50" t="n">
        <v>215</v>
      </c>
      <c r="N149" s="50" t="n">
        <v>294</v>
      </c>
      <c r="O149" s="51" t="n">
        <v>509</v>
      </c>
      <c r="P149" s="52" t="n">
        <f aca="false">+(N149-M149)/O149</f>
        <v>0.155206286836935</v>
      </c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15.75" hidden="false" customHeight="true" outlineLevel="0" collapsed="false">
      <c r="A150" s="53" t="s">
        <v>32</v>
      </c>
      <c r="B150" s="144" t="s">
        <v>118</v>
      </c>
      <c r="C150" s="93" t="s">
        <v>111</v>
      </c>
      <c r="D150" s="50" t="n">
        <v>0</v>
      </c>
      <c r="E150" s="50" t="n">
        <v>0</v>
      </c>
      <c r="F150" s="50" t="n">
        <v>0</v>
      </c>
      <c r="G150" s="50" t="n">
        <v>0</v>
      </c>
      <c r="H150" s="50" t="n">
        <v>0</v>
      </c>
      <c r="I150" s="50" t="n">
        <v>0</v>
      </c>
      <c r="J150" s="73" t="n">
        <v>41</v>
      </c>
      <c r="K150" s="73" t="n">
        <v>47</v>
      </c>
      <c r="L150" s="74" t="n">
        <v>88</v>
      </c>
      <c r="M150" s="73" t="n">
        <v>41</v>
      </c>
      <c r="N150" s="73" t="n">
        <v>47</v>
      </c>
      <c r="O150" s="74" t="n">
        <v>88</v>
      </c>
      <c r="P150" s="52" t="n">
        <f aca="false">+(N150-M150)/O150</f>
        <v>0.0681818181818182</v>
      </c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15.75" hidden="false" customHeight="true" outlineLevel="0" collapsed="false">
      <c r="A151" s="146" t="s">
        <v>44</v>
      </c>
      <c r="B151" s="147" t="s">
        <v>119</v>
      </c>
      <c r="C151" s="122" t="s">
        <v>111</v>
      </c>
      <c r="D151" s="50" t="n">
        <v>0</v>
      </c>
      <c r="E151" s="50" t="n">
        <v>0</v>
      </c>
      <c r="F151" s="50" t="n">
        <v>0</v>
      </c>
      <c r="G151" s="50" t="n">
        <v>0</v>
      </c>
      <c r="H151" s="50" t="n">
        <v>0</v>
      </c>
      <c r="I151" s="50" t="n">
        <v>0</v>
      </c>
      <c r="J151" s="73" t="n">
        <v>15</v>
      </c>
      <c r="K151" s="73" t="n">
        <v>29</v>
      </c>
      <c r="L151" s="74" t="n">
        <v>44</v>
      </c>
      <c r="M151" s="73" t="n">
        <v>15</v>
      </c>
      <c r="N151" s="73" t="n">
        <v>29</v>
      </c>
      <c r="O151" s="74" t="n">
        <v>44</v>
      </c>
      <c r="P151" s="52" t="n">
        <f aca="false">+(N151-M151)/O151</f>
        <v>0.318181818181818</v>
      </c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15.75" hidden="false" customHeight="true" outlineLevel="0" collapsed="false">
      <c r="A152" s="109" t="s">
        <v>46</v>
      </c>
      <c r="B152" s="109"/>
      <c r="C152" s="109"/>
      <c r="D152" s="44" t="n">
        <f aca="false">SUM(D143:D151)</f>
        <v>0</v>
      </c>
      <c r="E152" s="44" t="n">
        <f aca="false">SUM(E143:E151)</f>
        <v>0</v>
      </c>
      <c r="F152" s="44" t="n">
        <f aca="false">SUM(F143:F151)</f>
        <v>0</v>
      </c>
      <c r="G152" s="44" t="n">
        <f aca="false">SUM(G143:G151)</f>
        <v>0</v>
      </c>
      <c r="H152" s="44" t="n">
        <f aca="false">SUM(H143:H151)</f>
        <v>0</v>
      </c>
      <c r="I152" s="44" t="n">
        <f aca="false">SUM(I143:I151)</f>
        <v>0</v>
      </c>
      <c r="J152" s="44" t="n">
        <f aca="false">SUM(J143:J151)</f>
        <v>1824</v>
      </c>
      <c r="K152" s="44" t="n">
        <f aca="false">SUM(K143:K151)</f>
        <v>2214</v>
      </c>
      <c r="L152" s="44" t="n">
        <f aca="false">SUM(L143:L151)</f>
        <v>4038</v>
      </c>
      <c r="M152" s="44" t="n">
        <f aca="false">SUM(M143:M151)</f>
        <v>1824</v>
      </c>
      <c r="N152" s="44" t="n">
        <f aca="false">SUM(N143:N151)</f>
        <v>2214</v>
      </c>
      <c r="O152" s="45" t="n">
        <f aca="false">SUM(O143:O151)</f>
        <v>4038</v>
      </c>
      <c r="P152" s="52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31.5" hidden="false" customHeight="true" outlineLevel="0" collapsed="false">
      <c r="A153" s="67"/>
      <c r="B153" s="67"/>
      <c r="C153" s="6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52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15.75" hidden="false" customHeight="true" outlineLevel="0" collapsed="false">
      <c r="A154" s="68" t="s">
        <v>47</v>
      </c>
      <c r="B154" s="69"/>
      <c r="C154" s="69"/>
      <c r="D154" s="44" t="s">
        <v>23</v>
      </c>
      <c r="E154" s="44" t="s">
        <v>24</v>
      </c>
      <c r="F154" s="44" t="s">
        <v>25</v>
      </c>
      <c r="G154" s="44" t="s">
        <v>23</v>
      </c>
      <c r="H154" s="44" t="s">
        <v>24</v>
      </c>
      <c r="I154" s="44" t="s">
        <v>25</v>
      </c>
      <c r="J154" s="44" t="s">
        <v>23</v>
      </c>
      <c r="K154" s="44" t="s">
        <v>24</v>
      </c>
      <c r="L154" s="44" t="s">
        <v>25</v>
      </c>
      <c r="M154" s="44" t="s">
        <v>23</v>
      </c>
      <c r="N154" s="44" t="s">
        <v>24</v>
      </c>
      <c r="O154" s="45" t="s">
        <v>25</v>
      </c>
      <c r="P154" s="52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15.75" hidden="false" customHeight="true" outlineLevel="0" collapsed="false">
      <c r="A155" s="92" t="s">
        <v>69</v>
      </c>
      <c r="B155" s="49"/>
      <c r="C155" s="49"/>
      <c r="D155" s="93"/>
      <c r="E155" s="49"/>
      <c r="F155" s="49"/>
      <c r="G155" s="49"/>
      <c r="H155" s="49"/>
      <c r="I155" s="93"/>
      <c r="J155" s="93"/>
      <c r="K155" s="93"/>
      <c r="L155" s="93"/>
      <c r="M155" s="93"/>
      <c r="N155" s="93"/>
      <c r="O155" s="94"/>
      <c r="P155" s="52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15.75" hidden="false" customHeight="true" outlineLevel="0" collapsed="false">
      <c r="A156" s="95" t="s">
        <v>70</v>
      </c>
      <c r="B156" s="96"/>
      <c r="C156" s="96"/>
      <c r="D156" s="50"/>
      <c r="E156" s="123"/>
      <c r="F156" s="123"/>
      <c r="G156" s="123"/>
      <c r="H156" s="123"/>
      <c r="I156" s="50"/>
      <c r="J156" s="50"/>
      <c r="K156" s="50"/>
      <c r="L156" s="50"/>
      <c r="M156" s="50"/>
      <c r="N156" s="50"/>
      <c r="O156" s="51"/>
      <c r="P156" s="52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15.75" hidden="false" customHeight="true" outlineLevel="0" collapsed="false">
      <c r="A157" s="97" t="s">
        <v>71</v>
      </c>
      <c r="B157" s="98"/>
      <c r="C157" s="98"/>
      <c r="D157" s="124"/>
      <c r="E157" s="125"/>
      <c r="F157" s="125"/>
      <c r="G157" s="125"/>
      <c r="H157" s="125"/>
      <c r="I157" s="124"/>
      <c r="J157" s="124"/>
      <c r="K157" s="124"/>
      <c r="L157" s="124"/>
      <c r="M157" s="124"/>
      <c r="N157" s="124"/>
      <c r="O157" s="126"/>
      <c r="P157" s="52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15.75" hidden="false" customHeight="true" outlineLevel="0" collapsed="false">
      <c r="A158" s="109" t="s">
        <v>46</v>
      </c>
      <c r="B158" s="109"/>
      <c r="C158" s="109"/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0</v>
      </c>
      <c r="N158" s="44" t="n">
        <v>0</v>
      </c>
      <c r="O158" s="45" t="n">
        <v>0</v>
      </c>
      <c r="P158" s="148"/>
      <c r="Q158" s="5"/>
      <c r="R158" s="75"/>
      <c r="S158" s="75"/>
      <c r="T158" s="75"/>
      <c r="U158" s="75"/>
      <c r="V158" s="75"/>
      <c r="W158" s="75"/>
      <c r="X158" s="75"/>
      <c r="Y158" s="75"/>
      <c r="Z158" s="75"/>
    </row>
    <row r="159" customFormat="false" ht="31.5" hidden="false" customHeight="true" outlineLevel="0" collapsed="false">
      <c r="A159" s="75"/>
      <c r="B159" s="76"/>
      <c r="C159" s="76"/>
      <c r="D159" s="2"/>
      <c r="E159" s="77"/>
      <c r="F159" s="77"/>
      <c r="G159" s="77"/>
      <c r="H159" s="77"/>
      <c r="I159" s="2"/>
      <c r="J159" s="2"/>
      <c r="K159" s="2"/>
      <c r="L159" s="2"/>
      <c r="M159" s="2"/>
      <c r="N159" s="2"/>
      <c r="O159" s="2"/>
      <c r="P159" s="52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15.75" hidden="false" customHeight="true" outlineLevel="0" collapsed="false">
      <c r="A160" s="78" t="s">
        <v>48</v>
      </c>
      <c r="B160" s="69"/>
      <c r="C160" s="69"/>
      <c r="D160" s="44" t="s">
        <v>23</v>
      </c>
      <c r="E160" s="44" t="s">
        <v>24</v>
      </c>
      <c r="F160" s="44" t="s">
        <v>25</v>
      </c>
      <c r="G160" s="44" t="s">
        <v>23</v>
      </c>
      <c r="H160" s="44" t="s">
        <v>24</v>
      </c>
      <c r="I160" s="44" t="s">
        <v>25</v>
      </c>
      <c r="J160" s="44" t="s">
        <v>23</v>
      </c>
      <c r="K160" s="44" t="s">
        <v>24</v>
      </c>
      <c r="L160" s="44" t="s">
        <v>25</v>
      </c>
      <c r="M160" s="44" t="s">
        <v>23</v>
      </c>
      <c r="N160" s="44" t="s">
        <v>24</v>
      </c>
      <c r="O160" s="45" t="s">
        <v>25</v>
      </c>
      <c r="P160" s="52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15.75" hidden="false" customHeight="true" outlineLevel="0" collapsed="false">
      <c r="A161" s="134" t="s">
        <v>120</v>
      </c>
      <c r="B161" s="131" t="s">
        <v>121</v>
      </c>
      <c r="C161" s="93" t="s">
        <v>111</v>
      </c>
      <c r="D161" s="50" t="n">
        <v>0</v>
      </c>
      <c r="E161" s="50" t="n">
        <v>0</v>
      </c>
      <c r="F161" s="50" t="n">
        <v>0</v>
      </c>
      <c r="G161" s="50" t="n">
        <v>0</v>
      </c>
      <c r="H161" s="50" t="n">
        <v>0</v>
      </c>
      <c r="I161" s="50" t="n">
        <v>0</v>
      </c>
      <c r="J161" s="93" t="n">
        <v>144</v>
      </c>
      <c r="K161" s="93" t="n">
        <v>287</v>
      </c>
      <c r="L161" s="93" t="n">
        <v>431</v>
      </c>
      <c r="M161" s="50" t="n">
        <v>144</v>
      </c>
      <c r="N161" s="50" t="n">
        <v>287</v>
      </c>
      <c r="O161" s="51" t="n">
        <v>431</v>
      </c>
      <c r="P161" s="52" t="n">
        <f aca="false">+(N161-M161)/O161</f>
        <v>0.331786542923434</v>
      </c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15.75" hidden="false" customHeight="true" outlineLevel="0" collapsed="false">
      <c r="A162" s="149" t="s">
        <v>53</v>
      </c>
      <c r="B162" s="63" t="s">
        <v>122</v>
      </c>
      <c r="C162" s="50" t="s">
        <v>111</v>
      </c>
      <c r="D162" s="50" t="n">
        <v>0</v>
      </c>
      <c r="E162" s="50" t="n">
        <v>0</v>
      </c>
      <c r="F162" s="50" t="n">
        <v>0</v>
      </c>
      <c r="G162" s="50" t="n">
        <v>0</v>
      </c>
      <c r="H162" s="50" t="n">
        <v>0</v>
      </c>
      <c r="I162" s="50" t="n">
        <v>0</v>
      </c>
      <c r="J162" s="50" t="n">
        <v>126</v>
      </c>
      <c r="K162" s="50" t="n">
        <v>166</v>
      </c>
      <c r="L162" s="93" t="n">
        <v>292</v>
      </c>
      <c r="M162" s="50" t="n">
        <v>126</v>
      </c>
      <c r="N162" s="50" t="n">
        <v>166</v>
      </c>
      <c r="O162" s="51" t="n">
        <v>292</v>
      </c>
      <c r="P162" s="52" t="n">
        <f aca="false">+(N162-M162)/O162</f>
        <v>0.136986301369863</v>
      </c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15.75" hidden="false" customHeight="true" outlineLevel="0" collapsed="false">
      <c r="A163" s="149" t="s">
        <v>55</v>
      </c>
      <c r="B163" s="63" t="s">
        <v>122</v>
      </c>
      <c r="C163" s="50" t="s">
        <v>111</v>
      </c>
      <c r="D163" s="50" t="n">
        <v>0</v>
      </c>
      <c r="E163" s="50" t="n">
        <v>0</v>
      </c>
      <c r="F163" s="50" t="n">
        <v>0</v>
      </c>
      <c r="G163" s="50" t="n">
        <v>0</v>
      </c>
      <c r="H163" s="50" t="n">
        <v>0</v>
      </c>
      <c r="I163" s="50" t="n">
        <v>0</v>
      </c>
      <c r="J163" s="50" t="n">
        <v>133</v>
      </c>
      <c r="K163" s="50" t="n">
        <v>167</v>
      </c>
      <c r="L163" s="93" t="n">
        <v>300</v>
      </c>
      <c r="M163" s="50" t="n">
        <v>133</v>
      </c>
      <c r="N163" s="50" t="n">
        <v>167</v>
      </c>
      <c r="O163" s="51" t="n">
        <v>300</v>
      </c>
      <c r="P163" s="52" t="n">
        <f aca="false">+(N163-M163)/O163</f>
        <v>0.113333333333333</v>
      </c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15.75" hidden="false" customHeight="true" outlineLevel="0" collapsed="false">
      <c r="A164" s="149" t="s">
        <v>123</v>
      </c>
      <c r="B164" s="150" t="s">
        <v>124</v>
      </c>
      <c r="C164" s="50" t="s">
        <v>111</v>
      </c>
      <c r="D164" s="50" t="n">
        <v>0</v>
      </c>
      <c r="E164" s="50" t="n">
        <v>0</v>
      </c>
      <c r="F164" s="50" t="n">
        <v>0</v>
      </c>
      <c r="G164" s="50" t="n">
        <v>0</v>
      </c>
      <c r="H164" s="50" t="n">
        <v>0</v>
      </c>
      <c r="I164" s="50" t="n">
        <v>0</v>
      </c>
      <c r="J164" s="50" t="n">
        <v>53</v>
      </c>
      <c r="K164" s="50" t="n">
        <v>59</v>
      </c>
      <c r="L164" s="93" t="n">
        <v>112</v>
      </c>
      <c r="M164" s="50" t="n">
        <v>53</v>
      </c>
      <c r="N164" s="50" t="n">
        <v>59</v>
      </c>
      <c r="O164" s="51" t="n">
        <v>112</v>
      </c>
      <c r="P164" s="52" t="n">
        <f aca="false">+(N164-M164)/O164</f>
        <v>0.0535714285714286</v>
      </c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19.5" hidden="false" customHeight="true" outlineLevel="0" collapsed="false">
      <c r="A165" s="149" t="s">
        <v>125</v>
      </c>
      <c r="B165" s="150" t="s">
        <v>124</v>
      </c>
      <c r="C165" s="50" t="s">
        <v>111</v>
      </c>
      <c r="D165" s="50" t="n">
        <v>0</v>
      </c>
      <c r="E165" s="50" t="n">
        <v>0</v>
      </c>
      <c r="F165" s="50" t="n">
        <v>0</v>
      </c>
      <c r="G165" s="50" t="n">
        <v>0</v>
      </c>
      <c r="H165" s="50" t="n">
        <v>0</v>
      </c>
      <c r="I165" s="50" t="n">
        <v>0</v>
      </c>
      <c r="J165" s="50" t="n">
        <v>21</v>
      </c>
      <c r="K165" s="50" t="n">
        <v>76</v>
      </c>
      <c r="L165" s="93" t="n">
        <v>97</v>
      </c>
      <c r="M165" s="50" t="n">
        <v>21</v>
      </c>
      <c r="N165" s="50" t="n">
        <v>76</v>
      </c>
      <c r="O165" s="51" t="n">
        <v>97</v>
      </c>
      <c r="P165" s="52" t="n">
        <f aca="false">+(N165-M165)/O165</f>
        <v>0.567010309278351</v>
      </c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15.75" hidden="false" customHeight="true" outlineLevel="0" collapsed="false">
      <c r="A166" s="149" t="s">
        <v>126</v>
      </c>
      <c r="B166" s="63" t="s">
        <v>127</v>
      </c>
      <c r="C166" s="50" t="s">
        <v>111</v>
      </c>
      <c r="D166" s="50" t="n">
        <v>0</v>
      </c>
      <c r="E166" s="50" t="n">
        <v>0</v>
      </c>
      <c r="F166" s="50" t="n">
        <v>0</v>
      </c>
      <c r="G166" s="50" t="n">
        <v>0</v>
      </c>
      <c r="H166" s="50" t="n">
        <v>0</v>
      </c>
      <c r="I166" s="50" t="n">
        <v>0</v>
      </c>
      <c r="J166" s="50" t="n">
        <v>224</v>
      </c>
      <c r="K166" s="50" t="n">
        <v>493</v>
      </c>
      <c r="L166" s="93" t="n">
        <v>717</v>
      </c>
      <c r="M166" s="50" t="n">
        <v>224</v>
      </c>
      <c r="N166" s="50" t="n">
        <v>493</v>
      </c>
      <c r="O166" s="51" t="n">
        <v>717</v>
      </c>
      <c r="P166" s="52" t="n">
        <f aca="false">+(N166-M166)/O166</f>
        <v>0.375174337517434</v>
      </c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15.75" hidden="false" customHeight="true" outlineLevel="0" collapsed="false">
      <c r="A167" s="149" t="s">
        <v>128</v>
      </c>
      <c r="B167" s="63" t="s">
        <v>127</v>
      </c>
      <c r="C167" s="50" t="s">
        <v>111</v>
      </c>
      <c r="D167" s="50" t="n">
        <v>0</v>
      </c>
      <c r="E167" s="50" t="n">
        <v>0</v>
      </c>
      <c r="F167" s="50" t="n">
        <v>0</v>
      </c>
      <c r="G167" s="50" t="n">
        <v>0</v>
      </c>
      <c r="H167" s="50" t="n">
        <v>0</v>
      </c>
      <c r="I167" s="50" t="n">
        <v>0</v>
      </c>
      <c r="J167" s="50" t="n">
        <v>26</v>
      </c>
      <c r="K167" s="50" t="n">
        <v>131</v>
      </c>
      <c r="L167" s="93" t="n">
        <v>157</v>
      </c>
      <c r="M167" s="50" t="n">
        <v>26</v>
      </c>
      <c r="N167" s="50" t="n">
        <v>131</v>
      </c>
      <c r="O167" s="51" t="n">
        <v>157</v>
      </c>
      <c r="P167" s="52" t="n">
        <f aca="false">+(N167-M167)/O167</f>
        <v>0.668789808917197</v>
      </c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15.75" hidden="false" customHeight="true" outlineLevel="0" collapsed="false">
      <c r="A168" s="149" t="s">
        <v>129</v>
      </c>
      <c r="B168" s="63" t="s">
        <v>130</v>
      </c>
      <c r="C168" s="50" t="s">
        <v>111</v>
      </c>
      <c r="D168" s="50" t="n">
        <v>0</v>
      </c>
      <c r="E168" s="50" t="n">
        <v>0</v>
      </c>
      <c r="F168" s="50" t="n">
        <v>0</v>
      </c>
      <c r="G168" s="50" t="n">
        <v>0</v>
      </c>
      <c r="H168" s="50" t="n">
        <v>0</v>
      </c>
      <c r="I168" s="50" t="n">
        <v>0</v>
      </c>
      <c r="J168" s="50" t="n">
        <v>13</v>
      </c>
      <c r="K168" s="50" t="n">
        <v>155</v>
      </c>
      <c r="L168" s="93" t="n">
        <v>168</v>
      </c>
      <c r="M168" s="50" t="n">
        <v>13</v>
      </c>
      <c r="N168" s="50" t="n">
        <v>155</v>
      </c>
      <c r="O168" s="51" t="n">
        <v>168</v>
      </c>
      <c r="P168" s="52" t="n">
        <f aca="false">+(N168-M168)/O168</f>
        <v>0.845238095238095</v>
      </c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15.75" hidden="false" customHeight="true" outlineLevel="0" collapsed="false">
      <c r="A169" s="151" t="s">
        <v>131</v>
      </c>
      <c r="B169" s="82" t="s">
        <v>130</v>
      </c>
      <c r="C169" s="58" t="s">
        <v>111</v>
      </c>
      <c r="D169" s="58" t="n">
        <v>0</v>
      </c>
      <c r="E169" s="58" t="n">
        <v>0</v>
      </c>
      <c r="F169" s="58" t="n">
        <v>0</v>
      </c>
      <c r="G169" s="58" t="n">
        <v>0</v>
      </c>
      <c r="H169" s="58" t="n">
        <v>0</v>
      </c>
      <c r="I169" s="58" t="n">
        <v>0</v>
      </c>
      <c r="J169" s="58" t="n">
        <v>170</v>
      </c>
      <c r="K169" s="58" t="n">
        <v>79</v>
      </c>
      <c r="L169" s="103" t="n">
        <v>249</v>
      </c>
      <c r="M169" s="58" t="n">
        <v>170</v>
      </c>
      <c r="N169" s="58" t="n">
        <v>79</v>
      </c>
      <c r="O169" s="59" t="n">
        <v>249</v>
      </c>
      <c r="P169" s="52" t="n">
        <f aca="false">+(N169-M169)/O169</f>
        <v>-0.365461847389558</v>
      </c>
      <c r="Q169" s="2" t="n">
        <v>0</v>
      </c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15.75" hidden="false" customHeight="true" outlineLevel="0" collapsed="false">
      <c r="A170" s="151" t="s">
        <v>132</v>
      </c>
      <c r="B170" s="82" t="s">
        <v>130</v>
      </c>
      <c r="C170" s="58" t="s">
        <v>111</v>
      </c>
      <c r="D170" s="58" t="n">
        <v>0</v>
      </c>
      <c r="E170" s="58" t="n">
        <v>0</v>
      </c>
      <c r="F170" s="58" t="n">
        <v>0</v>
      </c>
      <c r="G170" s="58" t="n">
        <v>0</v>
      </c>
      <c r="H170" s="58" t="n">
        <v>0</v>
      </c>
      <c r="I170" s="58" t="n">
        <v>0</v>
      </c>
      <c r="J170" s="58" t="n">
        <v>35</v>
      </c>
      <c r="K170" s="58" t="n">
        <v>30</v>
      </c>
      <c r="L170" s="103" t="n">
        <v>65</v>
      </c>
      <c r="M170" s="58" t="n">
        <v>35</v>
      </c>
      <c r="N170" s="58" t="n">
        <v>30</v>
      </c>
      <c r="O170" s="59" t="n">
        <v>65</v>
      </c>
      <c r="P170" s="60" t="n">
        <f aca="false">+(N170-M170)/O170</f>
        <v>-0.0769230769230769</v>
      </c>
      <c r="Q170" s="61" t="n">
        <v>1</v>
      </c>
      <c r="R170" s="151" t="s">
        <v>132</v>
      </c>
      <c r="S170" s="46"/>
      <c r="T170" s="46"/>
      <c r="U170" s="46"/>
      <c r="V170" s="46"/>
      <c r="W170" s="46"/>
      <c r="X170" s="46"/>
      <c r="Y170" s="46"/>
      <c r="Z170" s="46"/>
    </row>
    <row r="171" customFormat="false" ht="15.75" hidden="false" customHeight="true" outlineLevel="0" collapsed="false">
      <c r="A171" s="149" t="s">
        <v>133</v>
      </c>
      <c r="B171" s="63" t="s">
        <v>134</v>
      </c>
      <c r="C171" s="50" t="s">
        <v>111</v>
      </c>
      <c r="D171" s="50" t="n">
        <v>0</v>
      </c>
      <c r="E171" s="50" t="n">
        <v>0</v>
      </c>
      <c r="F171" s="50" t="n">
        <v>0</v>
      </c>
      <c r="G171" s="50" t="n">
        <v>0</v>
      </c>
      <c r="H171" s="50" t="n">
        <v>0</v>
      </c>
      <c r="I171" s="50" t="n">
        <v>0</v>
      </c>
      <c r="J171" s="50" t="n">
        <v>62</v>
      </c>
      <c r="K171" s="50" t="n">
        <v>84</v>
      </c>
      <c r="L171" s="93" t="n">
        <v>146</v>
      </c>
      <c r="M171" s="50" t="n">
        <v>62</v>
      </c>
      <c r="N171" s="50" t="n">
        <v>84</v>
      </c>
      <c r="O171" s="51" t="n">
        <v>146</v>
      </c>
      <c r="P171" s="52" t="n">
        <f aca="false">+(N171-M171)/O171</f>
        <v>0.150684931506849</v>
      </c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15.75" hidden="false" customHeight="true" outlineLevel="0" collapsed="false">
      <c r="A172" s="149" t="s">
        <v>135</v>
      </c>
      <c r="B172" s="63" t="s">
        <v>134</v>
      </c>
      <c r="C172" s="50" t="s">
        <v>111</v>
      </c>
      <c r="D172" s="50" t="n">
        <v>0</v>
      </c>
      <c r="E172" s="50" t="n">
        <v>0</v>
      </c>
      <c r="F172" s="50" t="n">
        <v>0</v>
      </c>
      <c r="G172" s="50" t="n">
        <v>0</v>
      </c>
      <c r="H172" s="50" t="n">
        <v>0</v>
      </c>
      <c r="I172" s="50" t="n">
        <v>0</v>
      </c>
      <c r="J172" s="50" t="n">
        <v>5</v>
      </c>
      <c r="K172" s="50" t="n">
        <v>31</v>
      </c>
      <c r="L172" s="93" t="n">
        <v>36</v>
      </c>
      <c r="M172" s="50" t="n">
        <v>5</v>
      </c>
      <c r="N172" s="50" t="n">
        <v>31</v>
      </c>
      <c r="O172" s="51" t="n">
        <v>36</v>
      </c>
      <c r="P172" s="52" t="n">
        <f aca="false">+(N172-M172)/O172</f>
        <v>0.722222222222222</v>
      </c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15.75" hidden="false" customHeight="true" outlineLevel="0" collapsed="false">
      <c r="A173" s="151" t="s">
        <v>136</v>
      </c>
      <c r="B173" s="82" t="s">
        <v>134</v>
      </c>
      <c r="C173" s="58" t="s">
        <v>111</v>
      </c>
      <c r="D173" s="58" t="n">
        <v>0</v>
      </c>
      <c r="E173" s="58" t="n">
        <v>0</v>
      </c>
      <c r="F173" s="58" t="n">
        <v>0</v>
      </c>
      <c r="G173" s="58" t="n">
        <v>0</v>
      </c>
      <c r="H173" s="58" t="n">
        <v>0</v>
      </c>
      <c r="I173" s="58" t="n">
        <v>0</v>
      </c>
      <c r="J173" s="58" t="n">
        <v>20</v>
      </c>
      <c r="K173" s="58" t="n">
        <v>15</v>
      </c>
      <c r="L173" s="103" t="n">
        <v>35</v>
      </c>
      <c r="M173" s="58" t="n">
        <v>20</v>
      </c>
      <c r="N173" s="58" t="n">
        <v>15</v>
      </c>
      <c r="O173" s="59" t="n">
        <v>35</v>
      </c>
      <c r="P173" s="52" t="n">
        <f aca="false">+(N173-M173)/O173</f>
        <v>-0.142857142857143</v>
      </c>
      <c r="Q173" s="2" t="n">
        <v>0</v>
      </c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15.75" hidden="false" customHeight="true" outlineLevel="0" collapsed="false">
      <c r="A174" s="149" t="s">
        <v>137</v>
      </c>
      <c r="B174" s="63" t="s">
        <v>134</v>
      </c>
      <c r="C174" s="50" t="s">
        <v>111</v>
      </c>
      <c r="D174" s="50" t="n">
        <v>0</v>
      </c>
      <c r="E174" s="50" t="n">
        <v>0</v>
      </c>
      <c r="F174" s="50" t="n">
        <v>0</v>
      </c>
      <c r="G174" s="50" t="n">
        <v>0</v>
      </c>
      <c r="H174" s="50" t="n">
        <v>0</v>
      </c>
      <c r="I174" s="50" t="n">
        <v>0</v>
      </c>
      <c r="J174" s="50" t="n">
        <v>4</v>
      </c>
      <c r="K174" s="50" t="n">
        <v>8</v>
      </c>
      <c r="L174" s="93" t="n">
        <v>12</v>
      </c>
      <c r="M174" s="50" t="n">
        <v>4</v>
      </c>
      <c r="N174" s="50" t="n">
        <v>8</v>
      </c>
      <c r="O174" s="51" t="n">
        <v>12</v>
      </c>
      <c r="P174" s="52" t="n">
        <f aca="false">+(N174-M174)/O174</f>
        <v>0.333333333333333</v>
      </c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15.75" hidden="false" customHeight="true" outlineLevel="0" collapsed="false">
      <c r="A175" s="149" t="s">
        <v>138</v>
      </c>
      <c r="B175" s="63" t="s">
        <v>139</v>
      </c>
      <c r="C175" s="50" t="s">
        <v>111</v>
      </c>
      <c r="D175" s="50" t="n">
        <v>0</v>
      </c>
      <c r="E175" s="50" t="n">
        <v>0</v>
      </c>
      <c r="F175" s="50" t="n">
        <v>0</v>
      </c>
      <c r="G175" s="50" t="n">
        <v>0</v>
      </c>
      <c r="H175" s="50" t="n">
        <v>0</v>
      </c>
      <c r="I175" s="50" t="n">
        <v>0</v>
      </c>
      <c r="J175" s="50" t="n">
        <v>109</v>
      </c>
      <c r="K175" s="50" t="n">
        <v>338</v>
      </c>
      <c r="L175" s="93" t="n">
        <v>447</v>
      </c>
      <c r="M175" s="50" t="n">
        <v>109</v>
      </c>
      <c r="N175" s="50" t="n">
        <v>338</v>
      </c>
      <c r="O175" s="51" t="n">
        <v>447</v>
      </c>
      <c r="P175" s="52" t="n">
        <f aca="false">+(N175-M175)/O175</f>
        <v>0.512304250559284</v>
      </c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15.75" hidden="false" customHeight="true" outlineLevel="0" collapsed="false">
      <c r="A176" s="149" t="s">
        <v>140</v>
      </c>
      <c r="B176" s="63" t="s">
        <v>141</v>
      </c>
      <c r="C176" s="50" t="s">
        <v>111</v>
      </c>
      <c r="D176" s="50" t="n">
        <v>0</v>
      </c>
      <c r="E176" s="50" t="n">
        <v>0</v>
      </c>
      <c r="F176" s="50" t="n">
        <v>0</v>
      </c>
      <c r="G176" s="50" t="n">
        <v>0</v>
      </c>
      <c r="H176" s="50" t="n">
        <v>0</v>
      </c>
      <c r="I176" s="50" t="n">
        <v>0</v>
      </c>
      <c r="J176" s="50" t="n">
        <v>31</v>
      </c>
      <c r="K176" s="50" t="n">
        <v>248</v>
      </c>
      <c r="L176" s="93" t="n">
        <v>279</v>
      </c>
      <c r="M176" s="50" t="n">
        <v>31</v>
      </c>
      <c r="N176" s="50" t="n">
        <v>248</v>
      </c>
      <c r="O176" s="51" t="n">
        <v>279</v>
      </c>
      <c r="P176" s="52" t="n">
        <f aca="false">+(N176-M176)/O176</f>
        <v>0.777777777777778</v>
      </c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15.75" hidden="false" customHeight="true" outlineLevel="0" collapsed="false">
      <c r="A177" s="149" t="s">
        <v>142</v>
      </c>
      <c r="B177" s="63" t="s">
        <v>143</v>
      </c>
      <c r="C177" s="50" t="s">
        <v>111</v>
      </c>
      <c r="D177" s="50" t="n">
        <v>0</v>
      </c>
      <c r="E177" s="50" t="n">
        <v>0</v>
      </c>
      <c r="F177" s="50" t="n">
        <v>0</v>
      </c>
      <c r="G177" s="50" t="n">
        <v>0</v>
      </c>
      <c r="H177" s="50" t="n">
        <v>0</v>
      </c>
      <c r="I177" s="50" t="n">
        <v>0</v>
      </c>
      <c r="J177" s="50" t="n">
        <v>107</v>
      </c>
      <c r="K177" s="50" t="n">
        <v>399</v>
      </c>
      <c r="L177" s="93" t="n">
        <v>506</v>
      </c>
      <c r="M177" s="50" t="n">
        <v>107</v>
      </c>
      <c r="N177" s="50" t="n">
        <v>399</v>
      </c>
      <c r="O177" s="51" t="n">
        <v>506</v>
      </c>
      <c r="P177" s="52" t="n">
        <f aca="false">+(N177-M177)/O177</f>
        <v>0.577075098814229</v>
      </c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15.75" hidden="false" customHeight="true" outlineLevel="0" collapsed="false">
      <c r="A178" s="151" t="s">
        <v>144</v>
      </c>
      <c r="B178" s="152" t="s">
        <v>145</v>
      </c>
      <c r="C178" s="58" t="s">
        <v>111</v>
      </c>
      <c r="D178" s="58" t="n">
        <v>0</v>
      </c>
      <c r="E178" s="58" t="n">
        <v>0</v>
      </c>
      <c r="F178" s="58" t="n">
        <v>0</v>
      </c>
      <c r="G178" s="58" t="n">
        <v>0</v>
      </c>
      <c r="H178" s="58" t="n">
        <v>0</v>
      </c>
      <c r="I178" s="58" t="n">
        <v>0</v>
      </c>
      <c r="J178" s="58" t="n">
        <v>9</v>
      </c>
      <c r="K178" s="58" t="n">
        <v>7</v>
      </c>
      <c r="L178" s="103" t="n">
        <v>16</v>
      </c>
      <c r="M178" s="58" t="n">
        <v>9</v>
      </c>
      <c r="N178" s="58" t="n">
        <v>7</v>
      </c>
      <c r="O178" s="59" t="n">
        <v>16</v>
      </c>
      <c r="P178" s="60" t="n">
        <f aca="false">+(N178-M178)/O178</f>
        <v>-0.125</v>
      </c>
      <c r="Q178" s="61" t="n">
        <v>1</v>
      </c>
      <c r="R178" s="151" t="s">
        <v>144</v>
      </c>
      <c r="S178" s="46"/>
      <c r="T178" s="46"/>
      <c r="U178" s="46"/>
      <c r="V178" s="46"/>
      <c r="W178" s="46"/>
      <c r="X178" s="46"/>
      <c r="Y178" s="46"/>
      <c r="Z178" s="46"/>
    </row>
    <row r="179" customFormat="false" ht="15.75" hidden="false" customHeight="true" outlineLevel="0" collapsed="false">
      <c r="A179" s="151" t="s">
        <v>146</v>
      </c>
      <c r="B179" s="152" t="s">
        <v>145</v>
      </c>
      <c r="C179" s="58" t="s">
        <v>111</v>
      </c>
      <c r="D179" s="58" t="n">
        <v>0</v>
      </c>
      <c r="E179" s="58" t="n">
        <v>0</v>
      </c>
      <c r="F179" s="58" t="n">
        <v>0</v>
      </c>
      <c r="G179" s="58" t="n">
        <v>0</v>
      </c>
      <c r="H179" s="58" t="n">
        <v>0</v>
      </c>
      <c r="I179" s="58" t="n">
        <v>0</v>
      </c>
      <c r="J179" s="58" t="n">
        <v>17</v>
      </c>
      <c r="K179" s="58" t="n">
        <v>8</v>
      </c>
      <c r="L179" s="103" t="n">
        <v>25</v>
      </c>
      <c r="M179" s="58" t="n">
        <v>17</v>
      </c>
      <c r="N179" s="58" t="n">
        <v>8</v>
      </c>
      <c r="O179" s="59" t="n">
        <v>25</v>
      </c>
      <c r="P179" s="60" t="n">
        <f aca="false">+(N179-M179)/O179</f>
        <v>-0.36</v>
      </c>
      <c r="Q179" s="61" t="n">
        <v>1</v>
      </c>
      <c r="R179" s="151" t="s">
        <v>146</v>
      </c>
      <c r="S179" s="46"/>
      <c r="T179" s="46"/>
      <c r="U179" s="46"/>
      <c r="V179" s="46"/>
      <c r="W179" s="46"/>
      <c r="X179" s="46"/>
      <c r="Y179" s="46"/>
      <c r="Z179" s="46"/>
    </row>
    <row r="180" customFormat="false" ht="15.75" hidden="false" customHeight="true" outlineLevel="0" collapsed="false">
      <c r="A180" s="149" t="s">
        <v>147</v>
      </c>
      <c r="B180" s="150" t="s">
        <v>145</v>
      </c>
      <c r="C180" s="50" t="s">
        <v>111</v>
      </c>
      <c r="D180" s="50" t="n">
        <v>0</v>
      </c>
      <c r="E180" s="50" t="n">
        <v>0</v>
      </c>
      <c r="F180" s="50" t="n">
        <v>0</v>
      </c>
      <c r="G180" s="50" t="n">
        <v>0</v>
      </c>
      <c r="H180" s="50" t="n">
        <v>0</v>
      </c>
      <c r="I180" s="50" t="n">
        <v>0</v>
      </c>
      <c r="J180" s="50" t="n">
        <v>23</v>
      </c>
      <c r="K180" s="50" t="n">
        <v>27</v>
      </c>
      <c r="L180" s="93" t="n">
        <v>50</v>
      </c>
      <c r="M180" s="50" t="n">
        <v>23</v>
      </c>
      <c r="N180" s="50" t="n">
        <v>27</v>
      </c>
      <c r="O180" s="51" t="n">
        <v>50</v>
      </c>
      <c r="P180" s="52" t="n">
        <f aca="false">+(N180-M180)/O180</f>
        <v>0.08</v>
      </c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15.75" hidden="false" customHeight="true" outlineLevel="0" collapsed="false">
      <c r="A181" s="151" t="s">
        <v>59</v>
      </c>
      <c r="B181" s="152" t="s">
        <v>148</v>
      </c>
      <c r="C181" s="58" t="s">
        <v>111</v>
      </c>
      <c r="D181" s="58" t="n">
        <v>0</v>
      </c>
      <c r="E181" s="58" t="n">
        <v>0</v>
      </c>
      <c r="F181" s="58" t="n">
        <v>0</v>
      </c>
      <c r="G181" s="58" t="n">
        <v>0</v>
      </c>
      <c r="H181" s="58" t="n">
        <v>0</v>
      </c>
      <c r="I181" s="58" t="n">
        <v>0</v>
      </c>
      <c r="J181" s="58" t="n">
        <v>305</v>
      </c>
      <c r="K181" s="58" t="n">
        <v>78</v>
      </c>
      <c r="L181" s="103" t="n">
        <v>383</v>
      </c>
      <c r="M181" s="58" t="n">
        <v>305</v>
      </c>
      <c r="N181" s="58" t="n">
        <v>78</v>
      </c>
      <c r="O181" s="59" t="n">
        <v>383</v>
      </c>
      <c r="P181" s="60" t="n">
        <f aca="false">+(N181-M181)/O181</f>
        <v>-0.592689295039165</v>
      </c>
      <c r="Q181" s="61" t="n">
        <v>1</v>
      </c>
      <c r="R181" s="151" t="s">
        <v>59</v>
      </c>
      <c r="S181" s="46"/>
      <c r="T181" s="46"/>
      <c r="U181" s="46"/>
      <c r="V181" s="46"/>
      <c r="W181" s="46"/>
      <c r="X181" s="46"/>
      <c r="Y181" s="46"/>
      <c r="Z181" s="46"/>
    </row>
    <row r="182" customFormat="false" ht="15.75" hidden="false" customHeight="true" outlineLevel="0" collapsed="false">
      <c r="A182" s="151" t="s">
        <v>149</v>
      </c>
      <c r="B182" s="152" t="s">
        <v>148</v>
      </c>
      <c r="C182" s="58" t="s">
        <v>111</v>
      </c>
      <c r="D182" s="58" t="n">
        <v>0</v>
      </c>
      <c r="E182" s="58" t="n">
        <v>0</v>
      </c>
      <c r="F182" s="58" t="n">
        <v>0</v>
      </c>
      <c r="G182" s="58" t="n">
        <v>0</v>
      </c>
      <c r="H182" s="58" t="n">
        <v>0</v>
      </c>
      <c r="I182" s="58" t="n">
        <v>0</v>
      </c>
      <c r="J182" s="58" t="n">
        <v>176</v>
      </c>
      <c r="K182" s="58" t="n">
        <v>37</v>
      </c>
      <c r="L182" s="103" t="n">
        <v>213</v>
      </c>
      <c r="M182" s="58" t="n">
        <v>176</v>
      </c>
      <c r="N182" s="58" t="n">
        <v>37</v>
      </c>
      <c r="O182" s="59" t="n">
        <v>213</v>
      </c>
      <c r="P182" s="60" t="n">
        <f aca="false">+(N182-M182)/O182</f>
        <v>-0.652582159624413</v>
      </c>
      <c r="Q182" s="61" t="n">
        <v>1</v>
      </c>
      <c r="R182" s="151" t="s">
        <v>149</v>
      </c>
      <c r="S182" s="46"/>
      <c r="T182" s="46"/>
      <c r="U182" s="46"/>
      <c r="V182" s="46"/>
      <c r="W182" s="46"/>
      <c r="X182" s="46"/>
      <c r="Y182" s="46"/>
      <c r="Z182" s="46"/>
    </row>
    <row r="183" customFormat="false" ht="15.75" hidden="false" customHeight="true" outlineLevel="0" collapsed="false">
      <c r="A183" s="149" t="s">
        <v>150</v>
      </c>
      <c r="B183" s="144" t="s">
        <v>116</v>
      </c>
      <c r="C183" s="50" t="s">
        <v>111</v>
      </c>
      <c r="D183" s="50" t="n">
        <v>0</v>
      </c>
      <c r="E183" s="50" t="n">
        <v>0</v>
      </c>
      <c r="F183" s="50" t="n">
        <v>0</v>
      </c>
      <c r="G183" s="50" t="n">
        <v>0</v>
      </c>
      <c r="H183" s="50" t="n">
        <v>0</v>
      </c>
      <c r="I183" s="50" t="n">
        <v>0</v>
      </c>
      <c r="J183" s="50" t="n">
        <v>19</v>
      </c>
      <c r="K183" s="50" t="n">
        <v>50</v>
      </c>
      <c r="L183" s="93" t="n">
        <v>69</v>
      </c>
      <c r="M183" s="50" t="n">
        <v>19</v>
      </c>
      <c r="N183" s="50" t="n">
        <v>50</v>
      </c>
      <c r="O183" s="51" t="n">
        <v>69</v>
      </c>
      <c r="P183" s="52" t="n">
        <f aca="false">+(N183-M183)/O183</f>
        <v>0.449275362318841</v>
      </c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15.75" hidden="false" customHeight="true" outlineLevel="0" collapsed="false">
      <c r="A184" s="149" t="s">
        <v>151</v>
      </c>
      <c r="B184" s="144" t="s">
        <v>116</v>
      </c>
      <c r="C184" s="50" t="s">
        <v>111</v>
      </c>
      <c r="D184" s="50" t="n">
        <v>0</v>
      </c>
      <c r="E184" s="50" t="n">
        <v>0</v>
      </c>
      <c r="F184" s="50" t="n">
        <v>0</v>
      </c>
      <c r="G184" s="50" t="n">
        <v>0</v>
      </c>
      <c r="H184" s="50" t="n">
        <v>0</v>
      </c>
      <c r="I184" s="50" t="n">
        <v>0</v>
      </c>
      <c r="J184" s="50" t="n">
        <v>22</v>
      </c>
      <c r="K184" s="50" t="n">
        <v>72</v>
      </c>
      <c r="L184" s="93" t="n">
        <v>94</v>
      </c>
      <c r="M184" s="50" t="n">
        <v>22</v>
      </c>
      <c r="N184" s="50" t="n">
        <v>72</v>
      </c>
      <c r="O184" s="51" t="n">
        <v>94</v>
      </c>
      <c r="P184" s="52" t="n">
        <f aca="false">+(N184-M184)/O184</f>
        <v>0.531914893617021</v>
      </c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15.75" hidden="false" customHeight="true" outlineLevel="0" collapsed="false">
      <c r="A185" s="151" t="s">
        <v>152</v>
      </c>
      <c r="B185" s="145" t="s">
        <v>116</v>
      </c>
      <c r="C185" s="58" t="s">
        <v>111</v>
      </c>
      <c r="D185" s="58" t="n">
        <v>0</v>
      </c>
      <c r="E185" s="58" t="n">
        <v>0</v>
      </c>
      <c r="F185" s="58" t="n">
        <v>0</v>
      </c>
      <c r="G185" s="58" t="n">
        <v>0</v>
      </c>
      <c r="H185" s="58" t="n">
        <v>0</v>
      </c>
      <c r="I185" s="58" t="n">
        <v>0</v>
      </c>
      <c r="J185" s="58" t="n">
        <v>25</v>
      </c>
      <c r="K185" s="58" t="n">
        <v>17</v>
      </c>
      <c r="L185" s="103" t="n">
        <v>42</v>
      </c>
      <c r="M185" s="58" t="n">
        <v>25</v>
      </c>
      <c r="N185" s="58" t="n">
        <v>17</v>
      </c>
      <c r="O185" s="59" t="n">
        <v>42</v>
      </c>
      <c r="P185" s="52" t="n">
        <f aca="false">+(N185-M185)/O185</f>
        <v>-0.19047619047619</v>
      </c>
      <c r="Q185" s="2" t="n">
        <v>0</v>
      </c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15.75" hidden="false" customHeight="true" outlineLevel="0" collapsed="false">
      <c r="A186" s="149" t="s">
        <v>153</v>
      </c>
      <c r="B186" s="150" t="s">
        <v>154</v>
      </c>
      <c r="C186" s="50" t="s">
        <v>111</v>
      </c>
      <c r="D186" s="50" t="n">
        <v>0</v>
      </c>
      <c r="E186" s="50" t="n">
        <v>0</v>
      </c>
      <c r="F186" s="50" t="n">
        <v>0</v>
      </c>
      <c r="G186" s="50" t="n">
        <v>0</v>
      </c>
      <c r="H186" s="50" t="n">
        <v>0</v>
      </c>
      <c r="I186" s="50" t="n">
        <v>0</v>
      </c>
      <c r="J186" s="50" t="n">
        <v>84</v>
      </c>
      <c r="K186" s="50" t="n">
        <v>183</v>
      </c>
      <c r="L186" s="93" t="n">
        <v>267</v>
      </c>
      <c r="M186" s="50" t="n">
        <v>84</v>
      </c>
      <c r="N186" s="50" t="n">
        <v>183</v>
      </c>
      <c r="O186" s="51" t="n">
        <v>267</v>
      </c>
      <c r="P186" s="52" t="n">
        <f aca="false">+(N186-M186)/O186</f>
        <v>0.370786516853933</v>
      </c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15.75" hidden="false" customHeight="true" outlineLevel="0" collapsed="false">
      <c r="A187" s="153" t="s">
        <v>155</v>
      </c>
      <c r="B187" s="154" t="s">
        <v>156</v>
      </c>
      <c r="C187" s="73" t="s">
        <v>111</v>
      </c>
      <c r="D187" s="50" t="n">
        <v>0</v>
      </c>
      <c r="E187" s="50" t="n">
        <v>0</v>
      </c>
      <c r="F187" s="50" t="n">
        <v>0</v>
      </c>
      <c r="G187" s="73" t="n">
        <v>0</v>
      </c>
      <c r="H187" s="73" t="n">
        <v>0</v>
      </c>
      <c r="I187" s="73" t="n">
        <v>0</v>
      </c>
      <c r="J187" s="73" t="n">
        <v>77</v>
      </c>
      <c r="K187" s="73" t="n">
        <v>129</v>
      </c>
      <c r="L187" s="122" t="n">
        <v>206</v>
      </c>
      <c r="M187" s="73" t="n">
        <v>77</v>
      </c>
      <c r="N187" s="73" t="n">
        <v>129</v>
      </c>
      <c r="O187" s="74" t="n">
        <v>206</v>
      </c>
      <c r="P187" s="52" t="n">
        <f aca="false">+(N187-M187)/O187</f>
        <v>0.252427184466019</v>
      </c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15.75" hidden="false" customHeight="true" outlineLevel="0" collapsed="false">
      <c r="A188" s="109" t="s">
        <v>46</v>
      </c>
      <c r="B188" s="109"/>
      <c r="C188" s="109"/>
      <c r="D188" s="44" t="n">
        <f aca="false">SUM(D161:D187)</f>
        <v>0</v>
      </c>
      <c r="E188" s="44" t="n">
        <f aca="false">SUM(E161:E187)</f>
        <v>0</v>
      </c>
      <c r="F188" s="44" t="n">
        <f aca="false">SUM(F161:F187)</f>
        <v>0</v>
      </c>
      <c r="G188" s="44" t="n">
        <f aca="false">SUM(G161:G187)</f>
        <v>0</v>
      </c>
      <c r="H188" s="44" t="n">
        <f aca="false">SUM(H161:H187)</f>
        <v>0</v>
      </c>
      <c r="I188" s="44" t="n">
        <f aca="false">SUM(I161:I187)</f>
        <v>0</v>
      </c>
      <c r="J188" s="44" t="n">
        <f aca="false">SUM(J161:J187)</f>
        <v>2040</v>
      </c>
      <c r="K188" s="44" t="n">
        <f aca="false">SUM(K161:K187)</f>
        <v>3374</v>
      </c>
      <c r="L188" s="44" t="n">
        <f aca="false">SUM(L161:L187)</f>
        <v>5414</v>
      </c>
      <c r="M188" s="44" t="n">
        <f aca="false">SUM(M161:M187)</f>
        <v>2040</v>
      </c>
      <c r="N188" s="44" t="n">
        <f aca="false">SUM(N161:N187)</f>
        <v>3374</v>
      </c>
      <c r="O188" s="45" t="n">
        <f aca="false">SUM(O161:O187)</f>
        <v>5414</v>
      </c>
      <c r="P188" s="52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24" hidden="false" customHeight="true" outlineLevel="0" collapsed="false">
      <c r="A189" s="75"/>
      <c r="B189" s="76"/>
      <c r="C189" s="4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52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15.75" hidden="false" customHeight="true" outlineLevel="0" collapsed="false">
      <c r="A190" s="78" t="s">
        <v>68</v>
      </c>
      <c r="B190" s="89"/>
      <c r="C190" s="89"/>
      <c r="D190" s="44" t="s">
        <v>23</v>
      </c>
      <c r="E190" s="44" t="s">
        <v>24</v>
      </c>
      <c r="F190" s="44" t="s">
        <v>25</v>
      </c>
      <c r="G190" s="44" t="s">
        <v>23</v>
      </c>
      <c r="H190" s="44" t="s">
        <v>24</v>
      </c>
      <c r="I190" s="44" t="s">
        <v>25</v>
      </c>
      <c r="J190" s="44" t="s">
        <v>23</v>
      </c>
      <c r="K190" s="44" t="s">
        <v>24</v>
      </c>
      <c r="L190" s="44" t="s">
        <v>25</v>
      </c>
      <c r="M190" s="44" t="s">
        <v>23</v>
      </c>
      <c r="N190" s="44" t="s">
        <v>24</v>
      </c>
      <c r="O190" s="45" t="s">
        <v>25</v>
      </c>
      <c r="P190" s="90"/>
      <c r="Q190" s="7"/>
      <c r="R190" s="91"/>
      <c r="S190" s="91"/>
      <c r="T190" s="91"/>
      <c r="U190" s="91"/>
      <c r="V190" s="91"/>
      <c r="W190" s="91"/>
      <c r="X190" s="91"/>
      <c r="Y190" s="91"/>
      <c r="Z190" s="91"/>
    </row>
    <row r="191" customFormat="false" ht="15.75" hidden="false" customHeight="true" outlineLevel="0" collapsed="false">
      <c r="A191" s="104" t="s">
        <v>157</v>
      </c>
      <c r="B191" s="63" t="s">
        <v>158</v>
      </c>
      <c r="C191" s="50" t="s">
        <v>159</v>
      </c>
      <c r="D191" s="50" t="n">
        <v>1</v>
      </c>
      <c r="E191" s="50" t="n">
        <v>0</v>
      </c>
      <c r="F191" s="50" t="n">
        <v>1</v>
      </c>
      <c r="G191" s="50" t="n">
        <v>1</v>
      </c>
      <c r="H191" s="50" t="n">
        <v>0</v>
      </c>
      <c r="I191" s="50" t="n">
        <v>1</v>
      </c>
      <c r="J191" s="50" t="n">
        <v>5</v>
      </c>
      <c r="K191" s="50" t="n">
        <v>8</v>
      </c>
      <c r="L191" s="50" t="n">
        <v>13</v>
      </c>
      <c r="M191" s="50" t="n">
        <f aca="false">SUM(G191+J191)</f>
        <v>6</v>
      </c>
      <c r="N191" s="50" t="n">
        <f aca="false">SUM(H191+K191)</f>
        <v>8</v>
      </c>
      <c r="O191" s="51" t="n">
        <v>14</v>
      </c>
      <c r="P191" s="52" t="n">
        <f aca="false">+(N191-M191)/O191</f>
        <v>0.142857142857143</v>
      </c>
      <c r="Q191" s="7"/>
      <c r="R191" s="91"/>
      <c r="S191" s="91"/>
      <c r="T191" s="91"/>
      <c r="U191" s="91"/>
      <c r="V191" s="91"/>
      <c r="W191" s="91"/>
      <c r="X191" s="91"/>
      <c r="Y191" s="91"/>
      <c r="Z191" s="91"/>
    </row>
    <row r="192" customFormat="false" ht="15.75" hidden="false" customHeight="true" outlineLevel="0" collapsed="false">
      <c r="A192" s="155" t="s">
        <v>160</v>
      </c>
      <c r="B192" s="82" t="s">
        <v>158</v>
      </c>
      <c r="C192" s="58" t="s">
        <v>159</v>
      </c>
      <c r="D192" s="58" t="n">
        <v>2</v>
      </c>
      <c r="E192" s="58" t="n">
        <v>2</v>
      </c>
      <c r="F192" s="58" t="n">
        <v>4</v>
      </c>
      <c r="G192" s="58" t="n">
        <v>2</v>
      </c>
      <c r="H192" s="58" t="n">
        <v>2</v>
      </c>
      <c r="I192" s="58" t="n">
        <v>4</v>
      </c>
      <c r="J192" s="58" t="n">
        <v>2</v>
      </c>
      <c r="K192" s="58" t="n">
        <v>1</v>
      </c>
      <c r="L192" s="58" t="n">
        <v>3</v>
      </c>
      <c r="M192" s="58" t="n">
        <f aca="false">SUM(G192+J192)</f>
        <v>4</v>
      </c>
      <c r="N192" s="58" t="n">
        <f aca="false">SUM(H192+K192)</f>
        <v>3</v>
      </c>
      <c r="O192" s="59" t="n">
        <v>7</v>
      </c>
      <c r="P192" s="52" t="n">
        <f aca="false">+(N192-M192)/O192</f>
        <v>-0.142857142857143</v>
      </c>
      <c r="Q192" s="7" t="n">
        <v>0</v>
      </c>
      <c r="R192" s="91"/>
      <c r="S192" s="91"/>
      <c r="T192" s="91"/>
      <c r="U192" s="91"/>
      <c r="V192" s="91"/>
      <c r="W192" s="91"/>
      <c r="X192" s="91"/>
      <c r="Y192" s="91"/>
      <c r="Z192" s="91"/>
    </row>
    <row r="193" customFormat="false" ht="15.75" hidden="false" customHeight="true" outlineLevel="0" collapsed="false">
      <c r="A193" s="155" t="s">
        <v>161</v>
      </c>
      <c r="B193" s="82" t="s">
        <v>158</v>
      </c>
      <c r="C193" s="58" t="s">
        <v>159</v>
      </c>
      <c r="D193" s="58" t="n">
        <v>0</v>
      </c>
      <c r="E193" s="58" t="n">
        <v>0</v>
      </c>
      <c r="F193" s="58" t="n">
        <v>0</v>
      </c>
      <c r="G193" s="58" t="n">
        <v>0</v>
      </c>
      <c r="H193" s="58" t="n">
        <v>0</v>
      </c>
      <c r="I193" s="58" t="n">
        <v>0</v>
      </c>
      <c r="J193" s="58" t="n">
        <v>1</v>
      </c>
      <c r="K193" s="58" t="n">
        <v>0</v>
      </c>
      <c r="L193" s="58" t="n">
        <v>1</v>
      </c>
      <c r="M193" s="58" t="n">
        <f aca="false">SUM(G193+J193)</f>
        <v>1</v>
      </c>
      <c r="N193" s="58" t="n">
        <f aca="false">SUM(H193+K193)</f>
        <v>0</v>
      </c>
      <c r="O193" s="59" t="n">
        <v>1</v>
      </c>
      <c r="P193" s="52" t="n">
        <f aca="false">+(N193-M193)/O193</f>
        <v>-1</v>
      </c>
      <c r="Q193" s="7" t="n">
        <v>0</v>
      </c>
      <c r="R193" s="91"/>
      <c r="S193" s="91"/>
      <c r="T193" s="91"/>
      <c r="U193" s="91"/>
      <c r="V193" s="91"/>
      <c r="W193" s="91"/>
      <c r="X193" s="91"/>
      <c r="Y193" s="91"/>
      <c r="Z193" s="91"/>
    </row>
    <row r="194" customFormat="false" ht="15.75" hidden="false" customHeight="true" outlineLevel="0" collapsed="false">
      <c r="A194" s="104" t="s">
        <v>162</v>
      </c>
      <c r="B194" s="63" t="s">
        <v>158</v>
      </c>
      <c r="C194" s="50" t="s">
        <v>111</v>
      </c>
      <c r="D194" s="50" t="n">
        <v>0</v>
      </c>
      <c r="E194" s="50" t="n">
        <v>0</v>
      </c>
      <c r="F194" s="50" t="n">
        <v>0</v>
      </c>
      <c r="G194" s="50" t="n">
        <v>0</v>
      </c>
      <c r="H194" s="50" t="n">
        <v>0</v>
      </c>
      <c r="I194" s="50" t="n">
        <v>0</v>
      </c>
      <c r="J194" s="50" t="n">
        <v>1</v>
      </c>
      <c r="K194" s="50" t="n">
        <v>2</v>
      </c>
      <c r="L194" s="50" t="n">
        <v>3</v>
      </c>
      <c r="M194" s="50" t="n">
        <f aca="false">SUM(G194+J194)</f>
        <v>1</v>
      </c>
      <c r="N194" s="50" t="n">
        <f aca="false">SUM(H194+K194)</f>
        <v>2</v>
      </c>
      <c r="O194" s="51" t="n">
        <v>3</v>
      </c>
      <c r="P194" s="52" t="n">
        <f aca="false">+(N194-M194)/O194</f>
        <v>0.333333333333333</v>
      </c>
      <c r="Q194" s="7"/>
      <c r="R194" s="91"/>
      <c r="S194" s="91"/>
      <c r="T194" s="91"/>
      <c r="U194" s="91"/>
      <c r="V194" s="91"/>
      <c r="W194" s="91"/>
      <c r="X194" s="91"/>
      <c r="Y194" s="91"/>
      <c r="Z194" s="91"/>
    </row>
    <row r="195" customFormat="false" ht="15.75" hidden="false" customHeight="true" outlineLevel="0" collapsed="false">
      <c r="A195" s="104" t="s">
        <v>163</v>
      </c>
      <c r="B195" s="63" t="s">
        <v>158</v>
      </c>
      <c r="C195" s="50" t="s">
        <v>111</v>
      </c>
      <c r="D195" s="50" t="n">
        <v>3</v>
      </c>
      <c r="E195" s="50" t="n">
        <v>2</v>
      </c>
      <c r="F195" s="50" t="n">
        <v>5</v>
      </c>
      <c r="G195" s="73" t="n">
        <v>3</v>
      </c>
      <c r="H195" s="73" t="n">
        <v>2</v>
      </c>
      <c r="I195" s="50" t="n">
        <v>5</v>
      </c>
      <c r="J195" s="73" t="n">
        <v>6</v>
      </c>
      <c r="K195" s="73" t="n">
        <v>7</v>
      </c>
      <c r="L195" s="50" t="n">
        <v>13</v>
      </c>
      <c r="M195" s="50" t="n">
        <f aca="false">SUM(G195+J195)</f>
        <v>9</v>
      </c>
      <c r="N195" s="50" t="n">
        <f aca="false">SUM(H195+K195)</f>
        <v>9</v>
      </c>
      <c r="O195" s="51" t="n">
        <v>18</v>
      </c>
      <c r="P195" s="52" t="n">
        <f aca="false">+(N195-M195)/O195</f>
        <v>0</v>
      </c>
      <c r="Q195" s="7"/>
      <c r="R195" s="91"/>
      <c r="S195" s="91"/>
      <c r="T195" s="91"/>
      <c r="U195" s="91"/>
      <c r="V195" s="91"/>
      <c r="W195" s="91"/>
      <c r="X195" s="91"/>
      <c r="Y195" s="91"/>
      <c r="Z195" s="91"/>
    </row>
    <row r="196" customFormat="false" ht="15.75" hidden="false" customHeight="true" outlineLevel="0" collapsed="false">
      <c r="A196" s="104" t="s">
        <v>164</v>
      </c>
      <c r="B196" s="63" t="s">
        <v>158</v>
      </c>
      <c r="C196" s="50" t="s">
        <v>111</v>
      </c>
      <c r="D196" s="50" t="n">
        <v>0</v>
      </c>
      <c r="E196" s="50" t="n">
        <v>0</v>
      </c>
      <c r="F196" s="50" t="n">
        <v>0</v>
      </c>
      <c r="G196" s="73" t="n">
        <v>0</v>
      </c>
      <c r="H196" s="73" t="n">
        <v>0</v>
      </c>
      <c r="I196" s="50" t="n">
        <v>0</v>
      </c>
      <c r="J196" s="73" t="n">
        <v>2</v>
      </c>
      <c r="K196" s="73" t="n">
        <v>4</v>
      </c>
      <c r="L196" s="50" t="n">
        <v>6</v>
      </c>
      <c r="M196" s="50" t="n">
        <f aca="false">SUM(G196+J196)</f>
        <v>2</v>
      </c>
      <c r="N196" s="50" t="n">
        <f aca="false">SUM(H196+K196)</f>
        <v>4</v>
      </c>
      <c r="O196" s="51" t="n">
        <v>6</v>
      </c>
      <c r="P196" s="52" t="n">
        <f aca="false">+(N196-M196)/O196</f>
        <v>0.333333333333333</v>
      </c>
      <c r="Q196" s="7"/>
      <c r="R196" s="91"/>
      <c r="S196" s="91"/>
      <c r="T196" s="91"/>
      <c r="U196" s="91"/>
      <c r="V196" s="91"/>
      <c r="W196" s="91"/>
      <c r="X196" s="91"/>
      <c r="Y196" s="91"/>
      <c r="Z196" s="91"/>
    </row>
    <row r="197" customFormat="false" ht="15.75" hidden="false" customHeight="true" outlineLevel="0" collapsed="false">
      <c r="A197" s="155" t="s">
        <v>165</v>
      </c>
      <c r="B197" s="82" t="s">
        <v>158</v>
      </c>
      <c r="C197" s="58" t="s">
        <v>111</v>
      </c>
      <c r="D197" s="58" t="n">
        <v>1</v>
      </c>
      <c r="E197" s="58" t="n">
        <v>0</v>
      </c>
      <c r="F197" s="58" t="n">
        <v>1</v>
      </c>
      <c r="G197" s="108" t="n">
        <v>1</v>
      </c>
      <c r="H197" s="108" t="n">
        <v>0</v>
      </c>
      <c r="I197" s="58" t="n">
        <v>1</v>
      </c>
      <c r="J197" s="108" t="n">
        <v>15</v>
      </c>
      <c r="K197" s="108" t="n">
        <v>3</v>
      </c>
      <c r="L197" s="58" t="n">
        <v>18</v>
      </c>
      <c r="M197" s="58" t="n">
        <f aca="false">SUM(G197+J197)</f>
        <v>16</v>
      </c>
      <c r="N197" s="58" t="n">
        <f aca="false">SUM(H197+K197)</f>
        <v>3</v>
      </c>
      <c r="O197" s="59" t="n">
        <v>19</v>
      </c>
      <c r="P197" s="52" t="n">
        <f aca="false">+(N197-M197)/O197</f>
        <v>-0.68421052631579</v>
      </c>
      <c r="Q197" s="7" t="n">
        <v>0</v>
      </c>
      <c r="R197" s="91"/>
      <c r="S197" s="91"/>
      <c r="T197" s="91"/>
      <c r="U197" s="91"/>
      <c r="V197" s="91"/>
      <c r="W197" s="91"/>
      <c r="X197" s="91"/>
      <c r="Y197" s="91"/>
      <c r="Z197" s="91"/>
    </row>
    <row r="198" customFormat="false" ht="15.75" hidden="false" customHeight="true" outlineLevel="0" collapsed="false">
      <c r="A198" s="104" t="s">
        <v>166</v>
      </c>
      <c r="B198" s="63" t="s">
        <v>158</v>
      </c>
      <c r="C198" s="50" t="s">
        <v>111</v>
      </c>
      <c r="D198" s="50" t="n">
        <v>0</v>
      </c>
      <c r="E198" s="50" t="n">
        <v>0</v>
      </c>
      <c r="F198" s="50" t="n">
        <v>0</v>
      </c>
      <c r="G198" s="73" t="n">
        <v>0</v>
      </c>
      <c r="H198" s="73" t="n">
        <v>0</v>
      </c>
      <c r="I198" s="50" t="n">
        <v>0</v>
      </c>
      <c r="J198" s="73" t="n">
        <v>3</v>
      </c>
      <c r="K198" s="73" t="n">
        <v>4</v>
      </c>
      <c r="L198" s="50" t="n">
        <v>7</v>
      </c>
      <c r="M198" s="50" t="n">
        <f aca="false">SUM(G198+J198)</f>
        <v>3</v>
      </c>
      <c r="N198" s="50" t="n">
        <f aca="false">SUM(H198+K198)</f>
        <v>4</v>
      </c>
      <c r="O198" s="51" t="n">
        <v>7</v>
      </c>
      <c r="P198" s="52" t="n">
        <f aca="false">+(N198-M198)/O198</f>
        <v>0.142857142857143</v>
      </c>
      <c r="Q198" s="7"/>
      <c r="R198" s="91"/>
      <c r="S198" s="91"/>
      <c r="T198" s="91"/>
      <c r="U198" s="91"/>
      <c r="V198" s="91"/>
      <c r="W198" s="91"/>
      <c r="X198" s="91"/>
      <c r="Y198" s="91"/>
      <c r="Z198" s="91"/>
    </row>
    <row r="199" customFormat="false" ht="15.75" hidden="false" customHeight="true" outlineLevel="0" collapsed="false">
      <c r="A199" s="104" t="s">
        <v>167</v>
      </c>
      <c r="B199" s="63" t="s">
        <v>158</v>
      </c>
      <c r="C199" s="50" t="s">
        <v>111</v>
      </c>
      <c r="D199" s="50" t="n">
        <v>0</v>
      </c>
      <c r="E199" s="50" t="n">
        <v>0</v>
      </c>
      <c r="F199" s="50" t="n">
        <v>0</v>
      </c>
      <c r="G199" s="73" t="n">
        <v>0</v>
      </c>
      <c r="H199" s="73" t="n">
        <v>0</v>
      </c>
      <c r="I199" s="50" t="n">
        <v>0</v>
      </c>
      <c r="J199" s="73" t="n">
        <v>0</v>
      </c>
      <c r="K199" s="73" t="n">
        <v>1</v>
      </c>
      <c r="L199" s="50" t="n">
        <v>1</v>
      </c>
      <c r="M199" s="50" t="n">
        <f aca="false">SUM(G199+J199)</f>
        <v>0</v>
      </c>
      <c r="N199" s="50" t="n">
        <f aca="false">SUM(H199+K199)</f>
        <v>1</v>
      </c>
      <c r="O199" s="51" t="n">
        <v>1</v>
      </c>
      <c r="P199" s="52" t="n">
        <f aca="false">+(N199-M199)/O199</f>
        <v>1</v>
      </c>
      <c r="Q199" s="7"/>
      <c r="R199" s="91"/>
      <c r="S199" s="91"/>
      <c r="T199" s="91"/>
      <c r="U199" s="91"/>
      <c r="V199" s="91"/>
      <c r="W199" s="91"/>
      <c r="X199" s="91"/>
      <c r="Y199" s="91"/>
      <c r="Z199" s="91"/>
    </row>
    <row r="200" customFormat="false" ht="15.75" hidden="false" customHeight="true" outlineLevel="0" collapsed="false">
      <c r="A200" s="104" t="s">
        <v>168</v>
      </c>
      <c r="B200" s="63" t="s">
        <v>158</v>
      </c>
      <c r="C200" s="50" t="s">
        <v>111</v>
      </c>
      <c r="D200" s="50" t="n">
        <v>1</v>
      </c>
      <c r="E200" s="50" t="n">
        <v>0</v>
      </c>
      <c r="F200" s="50" t="n">
        <v>1</v>
      </c>
      <c r="G200" s="73" t="n">
        <v>1</v>
      </c>
      <c r="H200" s="73" t="n">
        <v>0</v>
      </c>
      <c r="I200" s="50" t="n">
        <v>1</v>
      </c>
      <c r="J200" s="73" t="n">
        <v>3</v>
      </c>
      <c r="K200" s="73" t="n">
        <v>4</v>
      </c>
      <c r="L200" s="50" t="n">
        <v>7</v>
      </c>
      <c r="M200" s="50" t="n">
        <f aca="false">SUM(G200+J200)</f>
        <v>4</v>
      </c>
      <c r="N200" s="50" t="n">
        <f aca="false">SUM(H200+K200)</f>
        <v>4</v>
      </c>
      <c r="O200" s="51" t="n">
        <v>8</v>
      </c>
      <c r="P200" s="52" t="n">
        <f aca="false">+(N200-M200)/O200</f>
        <v>0</v>
      </c>
      <c r="Q200" s="7"/>
      <c r="R200" s="91"/>
      <c r="S200" s="91"/>
      <c r="T200" s="91"/>
      <c r="U200" s="91"/>
      <c r="V200" s="91"/>
      <c r="W200" s="91"/>
      <c r="X200" s="91"/>
      <c r="Y200" s="91"/>
      <c r="Z200" s="91"/>
    </row>
    <row r="201" customFormat="false" ht="15.75" hidden="false" customHeight="true" outlineLevel="0" collapsed="false">
      <c r="A201" s="155" t="s">
        <v>169</v>
      </c>
      <c r="B201" s="82" t="s">
        <v>158</v>
      </c>
      <c r="C201" s="58" t="s">
        <v>111</v>
      </c>
      <c r="D201" s="58" t="n">
        <v>0</v>
      </c>
      <c r="E201" s="58" t="n">
        <v>0</v>
      </c>
      <c r="F201" s="58" t="n">
        <v>0</v>
      </c>
      <c r="G201" s="108" t="n">
        <v>0</v>
      </c>
      <c r="H201" s="108" t="n">
        <v>0</v>
      </c>
      <c r="I201" s="58" t="n">
        <v>0</v>
      </c>
      <c r="J201" s="108" t="n">
        <v>1</v>
      </c>
      <c r="K201" s="108" t="n">
        <v>0</v>
      </c>
      <c r="L201" s="58" t="n">
        <v>1</v>
      </c>
      <c r="M201" s="58" t="n">
        <f aca="false">SUM(G201+J201)</f>
        <v>1</v>
      </c>
      <c r="N201" s="58" t="n">
        <f aca="false">SUM(H201+K201)</f>
        <v>0</v>
      </c>
      <c r="O201" s="59" t="n">
        <v>1</v>
      </c>
      <c r="P201" s="52" t="n">
        <f aca="false">+(N201-M201)/O201</f>
        <v>-1</v>
      </c>
      <c r="Q201" s="7" t="n">
        <v>0</v>
      </c>
      <c r="R201" s="91"/>
      <c r="S201" s="91"/>
      <c r="T201" s="91"/>
      <c r="U201" s="91"/>
      <c r="V201" s="91"/>
      <c r="W201" s="91"/>
      <c r="X201" s="91"/>
      <c r="Y201" s="91"/>
      <c r="Z201" s="91"/>
    </row>
    <row r="202" customFormat="false" ht="15.75" hidden="false" customHeight="true" outlineLevel="0" collapsed="false">
      <c r="A202" s="104" t="s">
        <v>170</v>
      </c>
      <c r="B202" s="63" t="s">
        <v>158</v>
      </c>
      <c r="C202" s="50" t="s">
        <v>111</v>
      </c>
      <c r="D202" s="50" t="n">
        <v>0</v>
      </c>
      <c r="E202" s="50" t="n">
        <v>0</v>
      </c>
      <c r="F202" s="50" t="n">
        <v>0</v>
      </c>
      <c r="G202" s="73" t="n">
        <v>0</v>
      </c>
      <c r="H202" s="73" t="n">
        <v>0</v>
      </c>
      <c r="I202" s="50" t="n">
        <v>0</v>
      </c>
      <c r="J202" s="73" t="n">
        <v>2</v>
      </c>
      <c r="K202" s="73" t="n">
        <v>4</v>
      </c>
      <c r="L202" s="50" t="n">
        <v>6</v>
      </c>
      <c r="M202" s="50" t="n">
        <f aca="false">SUM(G202+J202)</f>
        <v>2</v>
      </c>
      <c r="N202" s="50" t="n">
        <f aca="false">SUM(H202+K202)</f>
        <v>4</v>
      </c>
      <c r="O202" s="51" t="n">
        <v>6</v>
      </c>
      <c r="P202" s="52" t="n">
        <f aca="false">+(N202-M202)/O202</f>
        <v>0.333333333333333</v>
      </c>
      <c r="Q202" s="7"/>
      <c r="R202" s="91"/>
      <c r="S202" s="91"/>
      <c r="T202" s="91"/>
      <c r="U202" s="91"/>
      <c r="V202" s="91"/>
      <c r="W202" s="91"/>
      <c r="X202" s="91"/>
      <c r="Y202" s="91"/>
      <c r="Z202" s="91"/>
    </row>
    <row r="203" customFormat="false" ht="15.75" hidden="false" customHeight="true" outlineLevel="0" collapsed="false">
      <c r="A203" s="106" t="s">
        <v>171</v>
      </c>
      <c r="B203" s="82" t="s">
        <v>158</v>
      </c>
      <c r="C203" s="108" t="s">
        <v>111</v>
      </c>
      <c r="D203" s="58" t="n">
        <v>5</v>
      </c>
      <c r="E203" s="58" t="n">
        <v>0</v>
      </c>
      <c r="F203" s="58" t="n">
        <v>5</v>
      </c>
      <c r="G203" s="108" t="n">
        <v>5</v>
      </c>
      <c r="H203" s="108" t="n">
        <v>0</v>
      </c>
      <c r="I203" s="108" t="n">
        <v>5</v>
      </c>
      <c r="J203" s="108" t="n">
        <v>0</v>
      </c>
      <c r="K203" s="108" t="n">
        <v>0</v>
      </c>
      <c r="L203" s="108" t="n">
        <v>0</v>
      </c>
      <c r="M203" s="58" t="n">
        <f aca="false">SUM(G203+J203)</f>
        <v>5</v>
      </c>
      <c r="N203" s="58" t="n">
        <f aca="false">SUM(H203+K203)</f>
        <v>0</v>
      </c>
      <c r="O203" s="156" t="n">
        <v>5</v>
      </c>
      <c r="P203" s="52" t="n">
        <f aca="false">+(N203-M203)/O203</f>
        <v>-1</v>
      </c>
      <c r="Q203" s="7" t="n">
        <v>0</v>
      </c>
      <c r="R203" s="91"/>
      <c r="S203" s="91"/>
      <c r="T203" s="91"/>
      <c r="U203" s="91"/>
      <c r="V203" s="91"/>
      <c r="W203" s="91"/>
      <c r="X203" s="91"/>
      <c r="Y203" s="91"/>
      <c r="Z203" s="91"/>
    </row>
    <row r="204" customFormat="false" ht="15.75" hidden="false" customHeight="true" outlineLevel="0" collapsed="false">
      <c r="A204" s="157" t="s">
        <v>172</v>
      </c>
      <c r="B204" s="63" t="s">
        <v>139</v>
      </c>
      <c r="C204" s="73" t="s">
        <v>111</v>
      </c>
      <c r="D204" s="50" t="n">
        <v>4</v>
      </c>
      <c r="E204" s="50" t="n">
        <v>30</v>
      </c>
      <c r="F204" s="50" t="n">
        <v>34</v>
      </c>
      <c r="G204" s="73" t="n">
        <v>4</v>
      </c>
      <c r="H204" s="73" t="n">
        <v>30</v>
      </c>
      <c r="I204" s="73" t="n">
        <v>34</v>
      </c>
      <c r="J204" s="73" t="n">
        <v>0</v>
      </c>
      <c r="K204" s="73" t="n">
        <v>0</v>
      </c>
      <c r="L204" s="73" t="n">
        <v>0</v>
      </c>
      <c r="M204" s="50" t="n">
        <f aca="false">SUM(G204+J204)</f>
        <v>4</v>
      </c>
      <c r="N204" s="50" t="n">
        <f aca="false">SUM(H204+K204)</f>
        <v>30</v>
      </c>
      <c r="O204" s="74" t="n">
        <v>34</v>
      </c>
      <c r="P204" s="52" t="n">
        <f aca="false">+(N204-M204)/O204</f>
        <v>0.764705882352941</v>
      </c>
      <c r="Q204" s="7"/>
      <c r="R204" s="91"/>
      <c r="S204" s="91"/>
      <c r="T204" s="91"/>
      <c r="U204" s="91"/>
      <c r="V204" s="91"/>
      <c r="W204" s="91"/>
      <c r="X204" s="91"/>
      <c r="Y204" s="91"/>
      <c r="Z204" s="91"/>
    </row>
    <row r="205" customFormat="false" ht="15.75" hidden="false" customHeight="true" outlineLevel="0" collapsed="false">
      <c r="A205" s="109" t="s">
        <v>46</v>
      </c>
      <c r="B205" s="109"/>
      <c r="C205" s="109"/>
      <c r="D205" s="44" t="n">
        <f aca="false">SUM(D191:D204)</f>
        <v>17</v>
      </c>
      <c r="E205" s="44" t="n">
        <f aca="false">SUM(E191:E204)</f>
        <v>34</v>
      </c>
      <c r="F205" s="44" t="n">
        <f aca="false">SUM(F191:F204)</f>
        <v>51</v>
      </c>
      <c r="G205" s="44" t="n">
        <f aca="false">SUM(G191:G204)</f>
        <v>17</v>
      </c>
      <c r="H205" s="44" t="n">
        <f aca="false">SUM(H191:H204)</f>
        <v>34</v>
      </c>
      <c r="I205" s="44" t="n">
        <f aca="false">SUM(I191:I204)</f>
        <v>51</v>
      </c>
      <c r="J205" s="44" t="n">
        <f aca="false">SUM(J191:J204)</f>
        <v>41</v>
      </c>
      <c r="K205" s="44" t="n">
        <f aca="false">SUM(K191:K204)</f>
        <v>38</v>
      </c>
      <c r="L205" s="44" t="n">
        <f aca="false">SUM(L191:L204)</f>
        <v>79</v>
      </c>
      <c r="M205" s="44" t="n">
        <f aca="false">SUM(M191:M204)</f>
        <v>58</v>
      </c>
      <c r="N205" s="44" t="n">
        <f aca="false">SUM(N191:N204)</f>
        <v>72</v>
      </c>
      <c r="O205" s="45" t="n">
        <f aca="false">SUM(O191:O204)</f>
        <v>130</v>
      </c>
      <c r="P205" s="52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15.75" hidden="false" customHeight="true" outlineLevel="0" collapsed="false">
      <c r="A206" s="67"/>
      <c r="B206" s="76"/>
      <c r="C206" s="76"/>
      <c r="D206" s="2"/>
      <c r="E206" s="2"/>
      <c r="F206" s="2"/>
      <c r="G206" s="2"/>
      <c r="H206" s="2"/>
      <c r="I206" s="76"/>
      <c r="J206" s="2"/>
      <c r="K206" s="2"/>
      <c r="L206" s="2"/>
      <c r="M206" s="2"/>
      <c r="N206" s="2"/>
      <c r="O206" s="2"/>
      <c r="P206" s="52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15.75" hidden="false" customHeight="true" outlineLevel="0" collapsed="false">
      <c r="A207" s="67"/>
      <c r="B207" s="76"/>
      <c r="C207" s="76"/>
      <c r="D207" s="2"/>
      <c r="E207" s="2"/>
      <c r="F207" s="2"/>
      <c r="G207" s="2"/>
      <c r="H207" s="2"/>
      <c r="I207" s="76"/>
      <c r="J207" s="2"/>
      <c r="K207" s="2"/>
      <c r="L207" s="2"/>
      <c r="M207" s="2"/>
      <c r="N207" s="2"/>
      <c r="O207" s="2"/>
      <c r="P207" s="52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15.75" hidden="false" customHeight="true" outlineLevel="0" collapsed="false">
      <c r="A208" s="67"/>
      <c r="B208" s="76"/>
      <c r="C208" s="76"/>
      <c r="D208" s="2"/>
      <c r="E208" s="2"/>
      <c r="F208" s="2"/>
      <c r="G208" s="2"/>
      <c r="H208" s="2"/>
      <c r="I208" s="76"/>
      <c r="J208" s="2"/>
      <c r="K208" s="2"/>
      <c r="L208" s="2"/>
      <c r="M208" s="2"/>
      <c r="N208" s="2"/>
      <c r="O208" s="2"/>
      <c r="P208" s="52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15.75" hidden="false" customHeight="true" outlineLevel="0" collapsed="false">
      <c r="A209" s="78" t="s">
        <v>72</v>
      </c>
      <c r="B209" s="69"/>
      <c r="C209" s="69"/>
      <c r="D209" s="44" t="s">
        <v>23</v>
      </c>
      <c r="E209" s="44" t="s">
        <v>24</v>
      </c>
      <c r="F209" s="44" t="s">
        <v>25</v>
      </c>
      <c r="G209" s="44" t="s">
        <v>23</v>
      </c>
      <c r="H209" s="44" t="s">
        <v>24</v>
      </c>
      <c r="I209" s="44" t="s">
        <v>25</v>
      </c>
      <c r="J209" s="44" t="s">
        <v>23</v>
      </c>
      <c r="K209" s="44" t="s">
        <v>24</v>
      </c>
      <c r="L209" s="44" t="s">
        <v>25</v>
      </c>
      <c r="M209" s="44" t="s">
        <v>23</v>
      </c>
      <c r="N209" s="44" t="s">
        <v>24</v>
      </c>
      <c r="O209" s="45" t="s">
        <v>25</v>
      </c>
      <c r="P209" s="90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15.75" hidden="false" customHeight="true" outlineLevel="0" collapsed="false">
      <c r="A210" s="104" t="s">
        <v>173</v>
      </c>
      <c r="B210" s="63" t="s">
        <v>130</v>
      </c>
      <c r="C210" s="50" t="s">
        <v>111</v>
      </c>
      <c r="D210" s="50" t="n">
        <v>0</v>
      </c>
      <c r="E210" s="50" t="n">
        <v>0</v>
      </c>
      <c r="F210" s="50" t="n">
        <v>0</v>
      </c>
      <c r="G210" s="50" t="n">
        <v>0</v>
      </c>
      <c r="H210" s="50" t="n">
        <v>0</v>
      </c>
      <c r="I210" s="50" t="n">
        <v>0</v>
      </c>
      <c r="J210" s="50" t="n">
        <v>17</v>
      </c>
      <c r="K210" s="50" t="n">
        <v>19</v>
      </c>
      <c r="L210" s="50" t="n">
        <v>36</v>
      </c>
      <c r="M210" s="50" t="n">
        <v>17</v>
      </c>
      <c r="N210" s="50" t="n">
        <v>19</v>
      </c>
      <c r="O210" s="51" t="n">
        <v>36</v>
      </c>
      <c r="P210" s="52" t="n">
        <f aca="false">+(N210-M210)/O210</f>
        <v>0.0555555555555556</v>
      </c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15.75" hidden="false" customHeight="true" outlineLevel="0" collapsed="false">
      <c r="A211" s="104" t="s">
        <v>73</v>
      </c>
      <c r="B211" s="63" t="s">
        <v>122</v>
      </c>
      <c r="C211" s="50" t="s">
        <v>111</v>
      </c>
      <c r="D211" s="50" t="n">
        <v>0</v>
      </c>
      <c r="E211" s="50" t="n">
        <v>0</v>
      </c>
      <c r="F211" s="50" t="n">
        <v>0</v>
      </c>
      <c r="G211" s="50" t="n">
        <v>0</v>
      </c>
      <c r="H211" s="50" t="n">
        <v>0</v>
      </c>
      <c r="I211" s="50" t="n">
        <v>0</v>
      </c>
      <c r="J211" s="50" t="n">
        <v>15</v>
      </c>
      <c r="K211" s="50" t="n">
        <v>17</v>
      </c>
      <c r="L211" s="50" t="n">
        <v>32</v>
      </c>
      <c r="M211" s="50" t="n">
        <v>15</v>
      </c>
      <c r="N211" s="50" t="n">
        <v>17</v>
      </c>
      <c r="O211" s="51" t="n">
        <v>32</v>
      </c>
      <c r="P211" s="52" t="n">
        <f aca="false">+(N211-M211)/O211</f>
        <v>0.0625</v>
      </c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15.75" hidden="false" customHeight="true" outlineLevel="0" collapsed="false">
      <c r="A212" s="104" t="s">
        <v>74</v>
      </c>
      <c r="B212" s="63" t="s">
        <v>122</v>
      </c>
      <c r="C212" s="50" t="s">
        <v>111</v>
      </c>
      <c r="D212" s="50" t="n">
        <v>0</v>
      </c>
      <c r="E212" s="50" t="n">
        <v>0</v>
      </c>
      <c r="F212" s="50" t="n">
        <v>0</v>
      </c>
      <c r="G212" s="50" t="n">
        <v>0</v>
      </c>
      <c r="H212" s="50" t="n">
        <v>0</v>
      </c>
      <c r="I212" s="50" t="n">
        <v>0</v>
      </c>
      <c r="J212" s="50" t="n">
        <v>23</v>
      </c>
      <c r="K212" s="50" t="n">
        <v>24</v>
      </c>
      <c r="L212" s="50" t="n">
        <v>47</v>
      </c>
      <c r="M212" s="50" t="n">
        <v>23</v>
      </c>
      <c r="N212" s="50" t="n">
        <v>24</v>
      </c>
      <c r="O212" s="51" t="n">
        <v>47</v>
      </c>
      <c r="P212" s="52" t="n">
        <f aca="false">+(N212-M212)/O212</f>
        <v>0.0212765957446809</v>
      </c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15.75" hidden="false" customHeight="true" outlineLevel="0" collapsed="false">
      <c r="A213" s="104" t="s">
        <v>174</v>
      </c>
      <c r="B213" s="131" t="s">
        <v>121</v>
      </c>
      <c r="C213" s="50" t="s">
        <v>111</v>
      </c>
      <c r="D213" s="50" t="n">
        <v>0</v>
      </c>
      <c r="E213" s="50" t="n">
        <v>0</v>
      </c>
      <c r="F213" s="50" t="n">
        <v>0</v>
      </c>
      <c r="G213" s="50" t="n">
        <v>0</v>
      </c>
      <c r="H213" s="50" t="n">
        <v>0</v>
      </c>
      <c r="I213" s="50" t="n">
        <v>0</v>
      </c>
      <c r="J213" s="50" t="n">
        <v>10</v>
      </c>
      <c r="K213" s="50" t="n">
        <v>13</v>
      </c>
      <c r="L213" s="50" t="n">
        <v>23</v>
      </c>
      <c r="M213" s="50" t="n">
        <v>10</v>
      </c>
      <c r="N213" s="50" t="n">
        <v>13</v>
      </c>
      <c r="O213" s="51" t="n">
        <v>23</v>
      </c>
      <c r="P213" s="52" t="n">
        <f aca="false">+(N213-M213)/O213</f>
        <v>0.130434782608696</v>
      </c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15.75" hidden="false" customHeight="true" outlineLevel="0" collapsed="false">
      <c r="A214" s="104" t="s">
        <v>175</v>
      </c>
      <c r="B214" s="63" t="s">
        <v>134</v>
      </c>
      <c r="C214" s="50" t="s">
        <v>111</v>
      </c>
      <c r="D214" s="50" t="n">
        <v>0</v>
      </c>
      <c r="E214" s="50" t="n">
        <v>0</v>
      </c>
      <c r="F214" s="50" t="n">
        <v>0</v>
      </c>
      <c r="G214" s="50" t="n">
        <v>0</v>
      </c>
      <c r="H214" s="50" t="n">
        <v>0</v>
      </c>
      <c r="I214" s="50" t="n">
        <v>0</v>
      </c>
      <c r="J214" s="50" t="n">
        <v>1</v>
      </c>
      <c r="K214" s="50" t="n">
        <v>9</v>
      </c>
      <c r="L214" s="50" t="n">
        <v>10</v>
      </c>
      <c r="M214" s="50" t="n">
        <v>1</v>
      </c>
      <c r="N214" s="50" t="n">
        <v>9</v>
      </c>
      <c r="O214" s="51" t="n">
        <v>10</v>
      </c>
      <c r="P214" s="52" t="n">
        <f aca="false">+(N214-M214)/O214</f>
        <v>0.8</v>
      </c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15.75" hidden="false" customHeight="true" outlineLevel="0" collapsed="false">
      <c r="A215" s="104" t="s">
        <v>176</v>
      </c>
      <c r="B215" s="63" t="s">
        <v>158</v>
      </c>
      <c r="C215" s="50" t="s">
        <v>111</v>
      </c>
      <c r="D215" s="50" t="n">
        <v>0</v>
      </c>
      <c r="E215" s="50" t="n">
        <v>0</v>
      </c>
      <c r="F215" s="50" t="n">
        <v>0</v>
      </c>
      <c r="G215" s="50" t="n">
        <v>0</v>
      </c>
      <c r="H215" s="50" t="n">
        <v>0</v>
      </c>
      <c r="I215" s="50" t="n">
        <v>0</v>
      </c>
      <c r="J215" s="50" t="n">
        <v>7</v>
      </c>
      <c r="K215" s="50" t="n">
        <v>11</v>
      </c>
      <c r="L215" s="50" t="n">
        <v>18</v>
      </c>
      <c r="M215" s="50" t="n">
        <v>7</v>
      </c>
      <c r="N215" s="50" t="n">
        <v>11</v>
      </c>
      <c r="O215" s="51" t="n">
        <v>18</v>
      </c>
      <c r="P215" s="52" t="n">
        <f aca="false">+(N215-M215)/O215</f>
        <v>0.222222222222222</v>
      </c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15.75" hidden="false" customHeight="true" outlineLevel="0" collapsed="false">
      <c r="A216" s="104" t="s">
        <v>177</v>
      </c>
      <c r="B216" s="63" t="s">
        <v>158</v>
      </c>
      <c r="C216" s="50" t="s">
        <v>111</v>
      </c>
      <c r="D216" s="50" t="n">
        <v>0</v>
      </c>
      <c r="E216" s="50" t="n">
        <v>0</v>
      </c>
      <c r="F216" s="50" t="n">
        <v>0</v>
      </c>
      <c r="G216" s="50" t="n">
        <v>0</v>
      </c>
      <c r="H216" s="50" t="n">
        <v>0</v>
      </c>
      <c r="I216" s="50" t="n">
        <v>0</v>
      </c>
      <c r="J216" s="50" t="n">
        <v>5</v>
      </c>
      <c r="K216" s="50" t="n">
        <v>7</v>
      </c>
      <c r="L216" s="50" t="n">
        <v>12</v>
      </c>
      <c r="M216" s="50" t="n">
        <v>5</v>
      </c>
      <c r="N216" s="50" t="n">
        <v>7</v>
      </c>
      <c r="O216" s="51" t="n">
        <v>12</v>
      </c>
      <c r="P216" s="52" t="n">
        <f aca="false">+(N216-M216)/O216</f>
        <v>0.166666666666667</v>
      </c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15.75" hidden="false" customHeight="true" outlineLevel="0" collapsed="false">
      <c r="A217" s="104" t="s">
        <v>178</v>
      </c>
      <c r="B217" s="63" t="s">
        <v>143</v>
      </c>
      <c r="C217" s="50" t="s">
        <v>111</v>
      </c>
      <c r="D217" s="50" t="n">
        <v>0</v>
      </c>
      <c r="E217" s="50" t="n">
        <v>0</v>
      </c>
      <c r="F217" s="50" t="n">
        <v>0</v>
      </c>
      <c r="G217" s="50" t="n">
        <v>0</v>
      </c>
      <c r="H217" s="50" t="n">
        <v>0</v>
      </c>
      <c r="I217" s="50" t="n">
        <v>0</v>
      </c>
      <c r="J217" s="50" t="n">
        <v>8</v>
      </c>
      <c r="K217" s="50" t="n">
        <v>16</v>
      </c>
      <c r="L217" s="50" t="n">
        <v>24</v>
      </c>
      <c r="M217" s="50" t="n">
        <v>8</v>
      </c>
      <c r="N217" s="50" t="n">
        <v>16</v>
      </c>
      <c r="O217" s="51" t="n">
        <v>24</v>
      </c>
      <c r="P217" s="52" t="n">
        <f aca="false">+(N217-M217)/O217</f>
        <v>0.333333333333333</v>
      </c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15.75" hidden="false" customHeight="true" outlineLevel="0" collapsed="false">
      <c r="A218" s="155" t="s">
        <v>179</v>
      </c>
      <c r="B218" s="152" t="s">
        <v>148</v>
      </c>
      <c r="C218" s="58" t="s">
        <v>111</v>
      </c>
      <c r="D218" s="58" t="n">
        <v>0</v>
      </c>
      <c r="E218" s="58" t="n">
        <v>0</v>
      </c>
      <c r="F218" s="58" t="n">
        <v>0</v>
      </c>
      <c r="G218" s="58" t="n">
        <v>0</v>
      </c>
      <c r="H218" s="58" t="n">
        <v>0</v>
      </c>
      <c r="I218" s="58" t="n">
        <v>0</v>
      </c>
      <c r="J218" s="58" t="n">
        <v>11</v>
      </c>
      <c r="K218" s="58" t="n">
        <v>0</v>
      </c>
      <c r="L218" s="58" t="n">
        <v>11</v>
      </c>
      <c r="M218" s="58" t="n">
        <v>11</v>
      </c>
      <c r="N218" s="58" t="n">
        <v>0</v>
      </c>
      <c r="O218" s="59" t="n">
        <v>11</v>
      </c>
      <c r="P218" s="60" t="n">
        <f aca="false">+(N218-M218)/O218</f>
        <v>-1</v>
      </c>
      <c r="Q218" s="61" t="n">
        <v>1</v>
      </c>
      <c r="R218" s="155" t="s">
        <v>179</v>
      </c>
      <c r="S218" s="46"/>
      <c r="T218" s="46"/>
      <c r="U218" s="46"/>
      <c r="V218" s="46"/>
      <c r="W218" s="46"/>
      <c r="X218" s="46"/>
      <c r="Y218" s="46"/>
      <c r="Z218" s="46"/>
    </row>
    <row r="219" customFormat="false" ht="15.75" hidden="false" customHeight="true" outlineLevel="0" collapsed="false">
      <c r="A219" s="109" t="s">
        <v>46</v>
      </c>
      <c r="B219" s="109"/>
      <c r="C219" s="109"/>
      <c r="D219" s="44" t="n">
        <f aca="false">SUM(D210:D218)</f>
        <v>0</v>
      </c>
      <c r="E219" s="44" t="n">
        <f aca="false">SUM(E210:E218)</f>
        <v>0</v>
      </c>
      <c r="F219" s="44" t="n">
        <f aca="false">SUM(F210:F218)</f>
        <v>0</v>
      </c>
      <c r="G219" s="44" t="n">
        <f aca="false">SUM(G210:G218)</f>
        <v>0</v>
      </c>
      <c r="H219" s="44" t="n">
        <f aca="false">SUM(H210:H218)</f>
        <v>0</v>
      </c>
      <c r="I219" s="44" t="n">
        <f aca="false">SUM(I210:I218)</f>
        <v>0</v>
      </c>
      <c r="J219" s="44" t="n">
        <f aca="false">SUM(J210:J218)</f>
        <v>97</v>
      </c>
      <c r="K219" s="44" t="n">
        <f aca="false">SUM(K210:K218)</f>
        <v>116</v>
      </c>
      <c r="L219" s="44" t="n">
        <f aca="false">SUM(L210:L218)</f>
        <v>213</v>
      </c>
      <c r="M219" s="44" t="n">
        <f aca="false">SUM(M210:M218)</f>
        <v>97</v>
      </c>
      <c r="N219" s="44" t="n">
        <f aca="false">SUM(N210:N218)</f>
        <v>116</v>
      </c>
      <c r="O219" s="45" t="n">
        <f aca="false">SUM(O210:O218)</f>
        <v>213</v>
      </c>
      <c r="P219" s="52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15.75" hidden="false" customHeight="true" outlineLevel="0" collapsed="false">
      <c r="A220" s="67"/>
      <c r="B220" s="76"/>
      <c r="C220" s="7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52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15.75" hidden="false" customHeight="true" outlineLevel="0" collapsed="false">
      <c r="A221" s="78" t="s">
        <v>76</v>
      </c>
      <c r="B221" s="69"/>
      <c r="C221" s="69"/>
      <c r="D221" s="44" t="s">
        <v>23</v>
      </c>
      <c r="E221" s="44" t="s">
        <v>24</v>
      </c>
      <c r="F221" s="44" t="s">
        <v>25</v>
      </c>
      <c r="G221" s="44" t="s">
        <v>23</v>
      </c>
      <c r="H221" s="44" t="s">
        <v>24</v>
      </c>
      <c r="I221" s="44" t="s">
        <v>25</v>
      </c>
      <c r="J221" s="44" t="s">
        <v>23</v>
      </c>
      <c r="K221" s="44" t="s">
        <v>24</v>
      </c>
      <c r="L221" s="44" t="s">
        <v>25</v>
      </c>
      <c r="M221" s="44" t="s">
        <v>23</v>
      </c>
      <c r="N221" s="44" t="s">
        <v>24</v>
      </c>
      <c r="O221" s="45" t="s">
        <v>25</v>
      </c>
      <c r="P221" s="52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15.75" hidden="false" customHeight="true" outlineLevel="0" collapsed="false">
      <c r="A222" s="104" t="s">
        <v>180</v>
      </c>
      <c r="B222" s="131" t="s">
        <v>121</v>
      </c>
      <c r="C222" s="50" t="s">
        <v>111</v>
      </c>
      <c r="D222" s="50" t="n">
        <v>0</v>
      </c>
      <c r="E222" s="50" t="n">
        <v>0</v>
      </c>
      <c r="F222" s="50" t="n">
        <v>0</v>
      </c>
      <c r="G222" s="105" t="n">
        <v>0</v>
      </c>
      <c r="H222" s="50" t="n">
        <v>0</v>
      </c>
      <c r="I222" s="50" t="n">
        <v>0</v>
      </c>
      <c r="J222" s="50" t="n">
        <v>1</v>
      </c>
      <c r="K222" s="50" t="n">
        <v>4</v>
      </c>
      <c r="L222" s="50" t="n">
        <v>5</v>
      </c>
      <c r="M222" s="50" t="n">
        <v>1</v>
      </c>
      <c r="N222" s="50" t="n">
        <v>4</v>
      </c>
      <c r="O222" s="51" t="n">
        <v>5</v>
      </c>
      <c r="P222" s="52" t="n">
        <f aca="false">+(N222-M222)/O222</f>
        <v>0.6</v>
      </c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15.75" hidden="false" customHeight="true" outlineLevel="0" collapsed="false">
      <c r="A223" s="104" t="s">
        <v>181</v>
      </c>
      <c r="B223" s="63" t="s">
        <v>158</v>
      </c>
      <c r="C223" s="50" t="s">
        <v>111</v>
      </c>
      <c r="D223" s="50" t="n">
        <v>0</v>
      </c>
      <c r="E223" s="50" t="n">
        <v>0</v>
      </c>
      <c r="F223" s="50" t="n">
        <v>0</v>
      </c>
      <c r="G223" s="105" t="n">
        <v>0</v>
      </c>
      <c r="H223" s="50" t="n">
        <v>0</v>
      </c>
      <c r="I223" s="50" t="n">
        <v>0</v>
      </c>
      <c r="J223" s="50" t="n">
        <v>14</v>
      </c>
      <c r="K223" s="50" t="n">
        <v>16</v>
      </c>
      <c r="L223" s="50" t="n">
        <v>30</v>
      </c>
      <c r="M223" s="50" t="n">
        <v>14</v>
      </c>
      <c r="N223" s="50" t="n">
        <v>16</v>
      </c>
      <c r="O223" s="51" t="n">
        <v>30</v>
      </c>
      <c r="P223" s="52" t="n">
        <f aca="false">+(N223-M223)/O223</f>
        <v>0.0666666666666667</v>
      </c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15.75" hidden="false" customHeight="true" outlineLevel="0" collapsed="false">
      <c r="A224" s="157" t="s">
        <v>182</v>
      </c>
      <c r="B224" s="63" t="s">
        <v>158</v>
      </c>
      <c r="C224" s="50" t="s">
        <v>111</v>
      </c>
      <c r="D224" s="50" t="n">
        <v>0</v>
      </c>
      <c r="E224" s="50" t="n">
        <v>0</v>
      </c>
      <c r="F224" s="50" t="n">
        <v>0</v>
      </c>
      <c r="G224" s="140" t="n">
        <v>0</v>
      </c>
      <c r="H224" s="73" t="n">
        <v>0</v>
      </c>
      <c r="I224" s="50" t="n">
        <v>0</v>
      </c>
      <c r="J224" s="73" t="n">
        <v>3</v>
      </c>
      <c r="K224" s="73" t="n">
        <v>6</v>
      </c>
      <c r="L224" s="122" t="n">
        <v>9</v>
      </c>
      <c r="M224" s="50" t="n">
        <v>3</v>
      </c>
      <c r="N224" s="50" t="n">
        <v>6</v>
      </c>
      <c r="O224" s="51" t="n">
        <v>9</v>
      </c>
      <c r="P224" s="52" t="n">
        <f aca="false">+(N224-M224)/O224</f>
        <v>0.333333333333333</v>
      </c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15.75" hidden="false" customHeight="true" outlineLevel="0" collapsed="false">
      <c r="A225" s="157" t="s">
        <v>183</v>
      </c>
      <c r="B225" s="63" t="s">
        <v>143</v>
      </c>
      <c r="C225" s="73" t="s">
        <v>111</v>
      </c>
      <c r="D225" s="50" t="n">
        <v>0</v>
      </c>
      <c r="E225" s="50" t="n">
        <v>0</v>
      </c>
      <c r="F225" s="50" t="n">
        <v>0</v>
      </c>
      <c r="G225" s="73" t="n">
        <v>0</v>
      </c>
      <c r="H225" s="73" t="n">
        <v>0</v>
      </c>
      <c r="I225" s="73" t="n">
        <v>0</v>
      </c>
      <c r="J225" s="73" t="n">
        <v>0</v>
      </c>
      <c r="K225" s="73" t="n">
        <v>6</v>
      </c>
      <c r="L225" s="73" t="n">
        <v>6</v>
      </c>
      <c r="M225" s="73" t="n">
        <v>0</v>
      </c>
      <c r="N225" s="73" t="n">
        <v>6</v>
      </c>
      <c r="O225" s="74" t="n">
        <v>6</v>
      </c>
      <c r="P225" s="52" t="n">
        <f aca="false">+(N225-M225)/O225</f>
        <v>1</v>
      </c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15.75" hidden="false" customHeight="true" outlineLevel="0" collapsed="false">
      <c r="A226" s="109" t="s">
        <v>46</v>
      </c>
      <c r="B226" s="109"/>
      <c r="C226" s="109"/>
      <c r="D226" s="44" t="n">
        <f aca="false">SUM(D222:D225)</f>
        <v>0</v>
      </c>
      <c r="E226" s="44" t="n">
        <f aca="false">SUM(E222:E225)</f>
        <v>0</v>
      </c>
      <c r="F226" s="44" t="n">
        <f aca="false">SUM(F222:F225)</f>
        <v>0</v>
      </c>
      <c r="G226" s="44" t="n">
        <f aca="false">SUM(G222:G225)</f>
        <v>0</v>
      </c>
      <c r="H226" s="44" t="n">
        <f aca="false">SUM(H222:H225)</f>
        <v>0</v>
      </c>
      <c r="I226" s="44" t="n">
        <f aca="false">SUM(I222:I225)</f>
        <v>0</v>
      </c>
      <c r="J226" s="44" t="n">
        <f aca="false">SUM(J222:J225)</f>
        <v>18</v>
      </c>
      <c r="K226" s="44" t="n">
        <f aca="false">SUM(K222:K225)</f>
        <v>32</v>
      </c>
      <c r="L226" s="44" t="n">
        <f aca="false">SUM(L222:L225)</f>
        <v>50</v>
      </c>
      <c r="M226" s="44" t="n">
        <f aca="false">SUM(M222:M225)</f>
        <v>18</v>
      </c>
      <c r="N226" s="44" t="n">
        <f aca="false">SUM(N222:N225)</f>
        <v>32</v>
      </c>
      <c r="O226" s="45" t="n">
        <f aca="false">SUM(O222:O225)</f>
        <v>50</v>
      </c>
      <c r="P226" s="52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15.75" hidden="false" customHeight="true" outlineLevel="0" collapsed="false">
      <c r="A227" s="111" t="s">
        <v>77</v>
      </c>
      <c r="B227" s="111"/>
      <c r="C227" s="111"/>
      <c r="D227" s="44" t="n">
        <f aca="false">SUM(D152+D188+D205+D219+D226)</f>
        <v>17</v>
      </c>
      <c r="E227" s="44" t="n">
        <f aca="false">SUM(E152+E188+E205+E219+E226)</f>
        <v>34</v>
      </c>
      <c r="F227" s="44" t="n">
        <f aca="false">SUM(F152+F188+F205+F219+F226)</f>
        <v>51</v>
      </c>
      <c r="G227" s="44" t="n">
        <f aca="false">SUM(G152+G188+G205+G219+G226)</f>
        <v>17</v>
      </c>
      <c r="H227" s="44" t="n">
        <f aca="false">SUM(H152+H188+H205+H219+H226)</f>
        <v>34</v>
      </c>
      <c r="I227" s="44" t="n">
        <f aca="false">SUM(I152+I188+I205+I219+I226)</f>
        <v>51</v>
      </c>
      <c r="J227" s="44" t="n">
        <f aca="false">SUM(J152+J188+J205+J219+J226)</f>
        <v>4020</v>
      </c>
      <c r="K227" s="44" t="n">
        <f aca="false">SUM(K152+K188+K205+K219+K226)</f>
        <v>5774</v>
      </c>
      <c r="L227" s="44" t="n">
        <f aca="false">SUM(L152+L188+L205+L219+L226)</f>
        <v>9794</v>
      </c>
      <c r="M227" s="44" t="n">
        <f aca="false">SUM(M152+M188+M205+M219+M226)</f>
        <v>4037</v>
      </c>
      <c r="N227" s="44" t="n">
        <f aca="false">SUM(N152+N188+N205+N219+N226)</f>
        <v>5808</v>
      </c>
      <c r="O227" s="45" t="n">
        <f aca="false">SUM(O152+O188+O205+O219+O226)</f>
        <v>9845</v>
      </c>
      <c r="P227" s="52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15.75" hidden="false" customHeight="true" outlineLevel="0" collapsed="false">
      <c r="A228" s="112"/>
      <c r="B228" s="112"/>
      <c r="C228" s="11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2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15.75" hidden="false" customHeight="true" outlineLevel="0" collapsed="false">
      <c r="A229" s="34" t="s">
        <v>184</v>
      </c>
      <c r="B229" s="34"/>
      <c r="C229" s="34"/>
      <c r="D229" s="34"/>
      <c r="E229" s="34"/>
      <c r="F229" s="34"/>
      <c r="G229" s="35" t="s">
        <v>13</v>
      </c>
      <c r="H229" s="35"/>
      <c r="I229" s="35"/>
      <c r="J229" s="35"/>
      <c r="K229" s="35"/>
      <c r="L229" s="35"/>
      <c r="M229" s="35"/>
      <c r="N229" s="35"/>
      <c r="O229" s="35"/>
      <c r="P229" s="52"/>
    </row>
    <row r="230" customFormat="false" ht="24" hidden="false" customHeight="true" outlineLevel="0" collapsed="false">
      <c r="A230" s="35" t="s">
        <v>185</v>
      </c>
      <c r="B230" s="38" t="s">
        <v>16</v>
      </c>
      <c r="C230" s="38" t="s">
        <v>17</v>
      </c>
      <c r="D230" s="38" t="s">
        <v>18</v>
      </c>
      <c r="E230" s="38"/>
      <c r="F230" s="38"/>
      <c r="G230" s="38" t="s">
        <v>19</v>
      </c>
      <c r="H230" s="38"/>
      <c r="I230" s="38"/>
      <c r="J230" s="38" t="s">
        <v>20</v>
      </c>
      <c r="K230" s="38"/>
      <c r="L230" s="38"/>
      <c r="M230" s="38" t="s">
        <v>21</v>
      </c>
      <c r="N230" s="38"/>
      <c r="O230" s="38"/>
      <c r="P230" s="52"/>
      <c r="R230" s="40"/>
      <c r="S230" s="40"/>
      <c r="T230" s="40"/>
      <c r="U230" s="40"/>
      <c r="V230" s="40"/>
      <c r="W230" s="40"/>
      <c r="X230" s="40"/>
      <c r="Y230" s="40"/>
      <c r="Z230" s="40"/>
    </row>
    <row r="231" customFormat="false" ht="19.5" hidden="false" customHeight="true" outlineLevel="0" collapsed="false">
      <c r="A231" s="35"/>
      <c r="B231" s="35"/>
      <c r="C231" s="35"/>
      <c r="D231" s="43" t="s">
        <v>23</v>
      </c>
      <c r="E231" s="44" t="s">
        <v>24</v>
      </c>
      <c r="F231" s="45" t="s">
        <v>25</v>
      </c>
      <c r="G231" s="43" t="s">
        <v>23</v>
      </c>
      <c r="H231" s="44" t="s">
        <v>24</v>
      </c>
      <c r="I231" s="45" t="s">
        <v>25</v>
      </c>
      <c r="J231" s="43" t="s">
        <v>23</v>
      </c>
      <c r="K231" s="44" t="s">
        <v>24</v>
      </c>
      <c r="L231" s="45" t="s">
        <v>25</v>
      </c>
      <c r="M231" s="114" t="s">
        <v>23</v>
      </c>
      <c r="N231" s="44" t="s">
        <v>24</v>
      </c>
      <c r="O231" s="45" t="s">
        <v>25</v>
      </c>
      <c r="P231" s="52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15.75" hidden="false" customHeight="true" outlineLevel="0" collapsed="false">
      <c r="A232" s="158" t="s">
        <v>40</v>
      </c>
      <c r="B232" s="159" t="s">
        <v>186</v>
      </c>
      <c r="C232" s="160" t="s">
        <v>187</v>
      </c>
      <c r="D232" s="50" t="n">
        <v>0</v>
      </c>
      <c r="E232" s="50" t="n">
        <v>0</v>
      </c>
      <c r="F232" s="50" t="n">
        <v>0</v>
      </c>
      <c r="G232" s="161" t="n">
        <v>0</v>
      </c>
      <c r="H232" s="161" t="n">
        <v>0</v>
      </c>
      <c r="I232" s="160" t="n">
        <v>0</v>
      </c>
      <c r="J232" s="160" t="n">
        <v>176</v>
      </c>
      <c r="K232" s="160" t="n">
        <v>219</v>
      </c>
      <c r="L232" s="160" t="n">
        <v>395</v>
      </c>
      <c r="M232" s="160" t="n">
        <v>176</v>
      </c>
      <c r="N232" s="160" t="n">
        <v>219</v>
      </c>
      <c r="O232" s="162" t="n">
        <v>395</v>
      </c>
      <c r="P232" s="52" t="n">
        <f aca="false">+(N232-M232)/O232</f>
        <v>0.108860759493671</v>
      </c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19.5" hidden="false" customHeight="true" outlineLevel="0" collapsed="false">
      <c r="A233" s="109" t="s">
        <v>46</v>
      </c>
      <c r="B233" s="109"/>
      <c r="C233" s="109"/>
      <c r="D233" s="44" t="n">
        <f aca="false">D232</f>
        <v>0</v>
      </c>
      <c r="E233" s="44" t="n">
        <f aca="false">E232</f>
        <v>0</v>
      </c>
      <c r="F233" s="44" t="n">
        <f aca="false">F232</f>
        <v>0</v>
      </c>
      <c r="G233" s="44" t="n">
        <f aca="false">G232</f>
        <v>0</v>
      </c>
      <c r="H233" s="44" t="n">
        <f aca="false">H232</f>
        <v>0</v>
      </c>
      <c r="I233" s="44" t="n">
        <f aca="false">I232</f>
        <v>0</v>
      </c>
      <c r="J233" s="44" t="n">
        <f aca="false">J232</f>
        <v>176</v>
      </c>
      <c r="K233" s="44" t="n">
        <f aca="false">K232</f>
        <v>219</v>
      </c>
      <c r="L233" s="44" t="n">
        <f aca="false">L232</f>
        <v>395</v>
      </c>
      <c r="M233" s="44" t="n">
        <f aca="false">M232</f>
        <v>176</v>
      </c>
      <c r="N233" s="44" t="n">
        <f aca="false">N232</f>
        <v>219</v>
      </c>
      <c r="O233" s="45" t="n">
        <f aca="false">O232</f>
        <v>395</v>
      </c>
      <c r="P233" s="52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15.75" hidden="false" customHeight="true" outlineLevel="0" collapsed="false">
      <c r="A234" s="75"/>
      <c r="B234" s="76"/>
      <c r="C234" s="46"/>
      <c r="D234" s="2"/>
      <c r="E234" s="76"/>
      <c r="F234" s="76"/>
      <c r="G234" s="76"/>
      <c r="H234" s="76"/>
      <c r="I234" s="2"/>
      <c r="J234" s="2"/>
      <c r="K234" s="2"/>
      <c r="L234" s="2"/>
      <c r="M234" s="2"/>
      <c r="N234" s="2"/>
      <c r="O234" s="2"/>
      <c r="P234" s="52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15.75" hidden="false" customHeight="true" outlineLevel="0" collapsed="false">
      <c r="A235" s="68" t="s">
        <v>47</v>
      </c>
      <c r="B235" s="69"/>
      <c r="C235" s="69"/>
      <c r="D235" s="44" t="s">
        <v>23</v>
      </c>
      <c r="E235" s="44" t="s">
        <v>24</v>
      </c>
      <c r="F235" s="44" t="s">
        <v>25</v>
      </c>
      <c r="G235" s="44" t="s">
        <v>23</v>
      </c>
      <c r="H235" s="44" t="s">
        <v>24</v>
      </c>
      <c r="I235" s="44" t="s">
        <v>25</v>
      </c>
      <c r="J235" s="44" t="s">
        <v>23</v>
      </c>
      <c r="K235" s="44" t="s">
        <v>24</v>
      </c>
      <c r="L235" s="44" t="s">
        <v>25</v>
      </c>
      <c r="M235" s="44" t="s">
        <v>23</v>
      </c>
      <c r="N235" s="44" t="s">
        <v>24</v>
      </c>
      <c r="O235" s="45" t="s">
        <v>25</v>
      </c>
      <c r="P235" s="52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15.75" hidden="false" customHeight="true" outlineLevel="0" collapsed="false">
      <c r="A236" s="92" t="s">
        <v>69</v>
      </c>
      <c r="B236" s="49"/>
      <c r="C236" s="49"/>
      <c r="D236" s="93"/>
      <c r="E236" s="49"/>
      <c r="F236" s="49"/>
      <c r="G236" s="49"/>
      <c r="H236" s="49"/>
      <c r="I236" s="93"/>
      <c r="J236" s="93"/>
      <c r="K236" s="93"/>
      <c r="L236" s="93"/>
      <c r="M236" s="93"/>
      <c r="N236" s="93"/>
      <c r="O236" s="94"/>
      <c r="P236" s="52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15.75" hidden="false" customHeight="true" outlineLevel="0" collapsed="false">
      <c r="A237" s="95" t="s">
        <v>70</v>
      </c>
      <c r="B237" s="96"/>
      <c r="C237" s="96"/>
      <c r="D237" s="50"/>
      <c r="E237" s="123"/>
      <c r="F237" s="123"/>
      <c r="G237" s="123"/>
      <c r="H237" s="123"/>
      <c r="I237" s="50"/>
      <c r="J237" s="50"/>
      <c r="K237" s="50"/>
      <c r="L237" s="50"/>
      <c r="M237" s="50"/>
      <c r="N237" s="50"/>
      <c r="O237" s="51"/>
      <c r="P237" s="52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15.75" hidden="false" customHeight="true" outlineLevel="0" collapsed="false">
      <c r="A238" s="97" t="s">
        <v>71</v>
      </c>
      <c r="B238" s="98"/>
      <c r="C238" s="98"/>
      <c r="D238" s="124"/>
      <c r="E238" s="125"/>
      <c r="F238" s="125"/>
      <c r="G238" s="125"/>
      <c r="H238" s="125"/>
      <c r="I238" s="124"/>
      <c r="J238" s="124"/>
      <c r="K238" s="124"/>
      <c r="L238" s="124"/>
      <c r="M238" s="124"/>
      <c r="N238" s="124"/>
      <c r="O238" s="126"/>
      <c r="P238" s="52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15.75" hidden="false" customHeight="true" outlineLevel="0" collapsed="false">
      <c r="A239" s="109" t="s">
        <v>46</v>
      </c>
      <c r="B239" s="109"/>
      <c r="C239" s="109"/>
      <c r="D239" s="44" t="n">
        <v>0</v>
      </c>
      <c r="E239" s="44" t="n">
        <v>0</v>
      </c>
      <c r="F239" s="44" t="n">
        <v>0</v>
      </c>
      <c r="G239" s="44" t="n">
        <v>0</v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5" t="n">
        <v>0</v>
      </c>
      <c r="P239" s="52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>
      <c r="A240" s="75"/>
      <c r="B240" s="76"/>
      <c r="C240" s="76"/>
      <c r="D240" s="2"/>
      <c r="E240" s="77"/>
      <c r="F240" s="77"/>
      <c r="G240" s="77"/>
      <c r="H240" s="77"/>
      <c r="I240" s="2"/>
      <c r="J240" s="2"/>
      <c r="K240" s="2"/>
      <c r="L240" s="2"/>
      <c r="M240" s="2"/>
      <c r="N240" s="2"/>
      <c r="O240" s="2"/>
      <c r="P240" s="52"/>
      <c r="R240" s="46"/>
      <c r="S240" s="46"/>
      <c r="T240" s="46"/>
      <c r="U240" s="46"/>
      <c r="V240" s="46"/>
      <c r="W240" s="46"/>
      <c r="X240" s="46"/>
      <c r="Y240" s="46"/>
      <c r="Z240" s="46"/>
    </row>
    <row r="241" customFormat="false" ht="15.75" hidden="false" customHeight="true" outlineLevel="0" collapsed="false">
      <c r="A241" s="78" t="s">
        <v>48</v>
      </c>
      <c r="B241" s="69"/>
      <c r="C241" s="69"/>
      <c r="D241" s="44" t="s">
        <v>23</v>
      </c>
      <c r="E241" s="44" t="s">
        <v>24</v>
      </c>
      <c r="F241" s="44" t="s">
        <v>25</v>
      </c>
      <c r="G241" s="44" t="s">
        <v>23</v>
      </c>
      <c r="H241" s="44" t="s">
        <v>24</v>
      </c>
      <c r="I241" s="44" t="s">
        <v>25</v>
      </c>
      <c r="J241" s="44" t="s">
        <v>23</v>
      </c>
      <c r="K241" s="44" t="s">
        <v>24</v>
      </c>
      <c r="L241" s="44" t="s">
        <v>25</v>
      </c>
      <c r="M241" s="44" t="s">
        <v>23</v>
      </c>
      <c r="N241" s="44" t="s">
        <v>24</v>
      </c>
      <c r="O241" s="45" t="s">
        <v>25</v>
      </c>
      <c r="P241" s="52"/>
      <c r="R241" s="46"/>
      <c r="S241" s="46"/>
      <c r="T241" s="46"/>
      <c r="U241" s="46"/>
      <c r="V241" s="46"/>
      <c r="W241" s="46"/>
      <c r="X241" s="46"/>
      <c r="Y241" s="46"/>
      <c r="Z241" s="46"/>
    </row>
    <row r="242" customFormat="false" ht="15.75" hidden="false" customHeight="true" outlineLevel="0" collapsed="false">
      <c r="A242" s="151" t="s">
        <v>188</v>
      </c>
      <c r="B242" s="163" t="s">
        <v>189</v>
      </c>
      <c r="C242" s="58" t="s">
        <v>187</v>
      </c>
      <c r="D242" s="58" t="n">
        <v>0</v>
      </c>
      <c r="E242" s="58" t="n">
        <v>0</v>
      </c>
      <c r="F242" s="58" t="n">
        <v>0</v>
      </c>
      <c r="G242" s="108" t="n">
        <v>0</v>
      </c>
      <c r="H242" s="108" t="n">
        <v>0</v>
      </c>
      <c r="I242" s="58" t="n">
        <v>0</v>
      </c>
      <c r="J242" s="58" t="n">
        <v>232</v>
      </c>
      <c r="K242" s="58" t="n">
        <v>79</v>
      </c>
      <c r="L242" s="58" t="n">
        <v>311</v>
      </c>
      <c r="M242" s="58" t="n">
        <v>232</v>
      </c>
      <c r="N242" s="58" t="n">
        <v>79</v>
      </c>
      <c r="O242" s="59" t="n">
        <v>311</v>
      </c>
      <c r="P242" s="60" t="n">
        <f aca="false">+(N242-M242)/O242</f>
        <v>-0.491961414790997</v>
      </c>
      <c r="Q242" s="61" t="n">
        <v>1</v>
      </c>
      <c r="R242" s="151" t="s">
        <v>188</v>
      </c>
      <c r="S242" s="46"/>
      <c r="T242" s="46"/>
      <c r="U242" s="46"/>
      <c r="V242" s="46"/>
      <c r="W242" s="46"/>
      <c r="X242" s="46"/>
      <c r="Y242" s="46"/>
      <c r="Z242" s="46"/>
    </row>
    <row r="243" customFormat="false" ht="15.75" hidden="false" customHeight="true" outlineLevel="0" collapsed="false">
      <c r="A243" s="151" t="s">
        <v>190</v>
      </c>
      <c r="B243" s="163" t="s">
        <v>189</v>
      </c>
      <c r="C243" s="58" t="s">
        <v>187</v>
      </c>
      <c r="D243" s="58" t="n">
        <v>0</v>
      </c>
      <c r="E243" s="58" t="n">
        <v>0</v>
      </c>
      <c r="F243" s="58" t="n">
        <v>0</v>
      </c>
      <c r="G243" s="58" t="n">
        <v>0</v>
      </c>
      <c r="H243" s="58" t="n">
        <v>0</v>
      </c>
      <c r="I243" s="58" t="n">
        <v>0</v>
      </c>
      <c r="J243" s="58" t="n">
        <v>87</v>
      </c>
      <c r="K243" s="58" t="n">
        <v>45</v>
      </c>
      <c r="L243" s="58" t="n">
        <v>132</v>
      </c>
      <c r="M243" s="58" t="n">
        <v>87</v>
      </c>
      <c r="N243" s="58" t="n">
        <v>45</v>
      </c>
      <c r="O243" s="59" t="n">
        <v>132</v>
      </c>
      <c r="P243" s="60" t="n">
        <f aca="false">+(N243-M243)/O243</f>
        <v>-0.318181818181818</v>
      </c>
      <c r="Q243" s="61" t="n">
        <v>1</v>
      </c>
      <c r="R243" s="151" t="s">
        <v>190</v>
      </c>
      <c r="S243" s="46"/>
      <c r="T243" s="46"/>
      <c r="U243" s="46"/>
      <c r="V243" s="46"/>
      <c r="W243" s="46"/>
      <c r="X243" s="46"/>
      <c r="Y243" s="46"/>
      <c r="Z243" s="46"/>
    </row>
    <row r="244" customFormat="false" ht="15.75" hidden="false" customHeight="true" outlineLevel="0" collapsed="false">
      <c r="A244" s="149" t="s">
        <v>191</v>
      </c>
      <c r="B244" s="150" t="s">
        <v>192</v>
      </c>
      <c r="C244" s="50" t="s">
        <v>187</v>
      </c>
      <c r="D244" s="50" t="n">
        <v>0</v>
      </c>
      <c r="E244" s="50" t="n">
        <v>0</v>
      </c>
      <c r="F244" s="50" t="n">
        <v>0</v>
      </c>
      <c r="G244" s="50" t="n">
        <v>0</v>
      </c>
      <c r="H244" s="50" t="n">
        <v>0</v>
      </c>
      <c r="I244" s="50" t="n">
        <v>0</v>
      </c>
      <c r="J244" s="50" t="n">
        <v>37</v>
      </c>
      <c r="K244" s="50" t="n">
        <v>45</v>
      </c>
      <c r="L244" s="50" t="n">
        <v>82</v>
      </c>
      <c r="M244" s="50" t="n">
        <v>37</v>
      </c>
      <c r="N244" s="50" t="n">
        <v>45</v>
      </c>
      <c r="O244" s="51" t="n">
        <v>82</v>
      </c>
      <c r="P244" s="52" t="n">
        <f aca="false">+(N244-M244)/O244</f>
        <v>0.0975609756097561</v>
      </c>
      <c r="R244" s="46"/>
      <c r="S244" s="46"/>
      <c r="T244" s="46"/>
      <c r="U244" s="46"/>
      <c r="V244" s="46"/>
      <c r="W244" s="46"/>
      <c r="X244" s="46"/>
      <c r="Y244" s="46"/>
      <c r="Z244" s="46"/>
    </row>
    <row r="245" customFormat="false" ht="15.75" hidden="false" customHeight="true" outlineLevel="0" collapsed="false">
      <c r="A245" s="151" t="s">
        <v>193</v>
      </c>
      <c r="B245" s="152" t="s">
        <v>192</v>
      </c>
      <c r="C245" s="58" t="s">
        <v>187</v>
      </c>
      <c r="D245" s="58" t="n">
        <v>0</v>
      </c>
      <c r="E245" s="58" t="n">
        <v>0</v>
      </c>
      <c r="F245" s="58" t="n">
        <v>0</v>
      </c>
      <c r="G245" s="58" t="n">
        <v>0</v>
      </c>
      <c r="H245" s="58" t="n">
        <v>0</v>
      </c>
      <c r="I245" s="58" t="n">
        <v>0</v>
      </c>
      <c r="J245" s="58" t="n">
        <v>47</v>
      </c>
      <c r="K245" s="58" t="n">
        <v>24</v>
      </c>
      <c r="L245" s="58" t="n">
        <v>71</v>
      </c>
      <c r="M245" s="58" t="n">
        <v>47</v>
      </c>
      <c r="N245" s="58" t="n">
        <v>24</v>
      </c>
      <c r="O245" s="59" t="n">
        <v>71</v>
      </c>
      <c r="P245" s="60" t="n">
        <f aca="false">+(N245-M245)/O245</f>
        <v>-0.323943661971831</v>
      </c>
      <c r="Q245" s="61" t="n">
        <v>1</v>
      </c>
      <c r="R245" s="151" t="s">
        <v>193</v>
      </c>
      <c r="S245" s="46"/>
      <c r="T245" s="46"/>
      <c r="U245" s="46"/>
      <c r="V245" s="46"/>
      <c r="W245" s="46"/>
      <c r="X245" s="46"/>
      <c r="Y245" s="46"/>
      <c r="Z245" s="46"/>
    </row>
    <row r="246" customFormat="false" ht="15.75" hidden="false" customHeight="true" outlineLevel="0" collapsed="false">
      <c r="A246" s="149" t="s">
        <v>194</v>
      </c>
      <c r="B246" s="150" t="s">
        <v>192</v>
      </c>
      <c r="C246" s="50" t="s">
        <v>187</v>
      </c>
      <c r="D246" s="50" t="n">
        <v>0</v>
      </c>
      <c r="E246" s="50" t="n">
        <v>0</v>
      </c>
      <c r="F246" s="50" t="n">
        <v>0</v>
      </c>
      <c r="G246" s="50" t="n">
        <v>0</v>
      </c>
      <c r="H246" s="50" t="n">
        <v>0</v>
      </c>
      <c r="I246" s="50" t="n">
        <v>0</v>
      </c>
      <c r="J246" s="50" t="n">
        <v>104</v>
      </c>
      <c r="K246" s="50" t="n">
        <v>139</v>
      </c>
      <c r="L246" s="50" t="n">
        <v>243</v>
      </c>
      <c r="M246" s="50" t="n">
        <v>104</v>
      </c>
      <c r="N246" s="50" t="n">
        <v>139</v>
      </c>
      <c r="O246" s="51" t="n">
        <v>243</v>
      </c>
      <c r="P246" s="52" t="n">
        <f aca="false">+(N246-M246)/O246</f>
        <v>0.1440329218107</v>
      </c>
      <c r="R246" s="46"/>
      <c r="S246" s="46"/>
      <c r="T246" s="46"/>
      <c r="U246" s="46"/>
      <c r="V246" s="46"/>
      <c r="W246" s="46"/>
      <c r="X246" s="46"/>
      <c r="Y246" s="46"/>
      <c r="Z246" s="46"/>
    </row>
    <row r="247" customFormat="false" ht="15.75" hidden="false" customHeight="true" outlineLevel="0" collapsed="false">
      <c r="A247" s="151" t="s">
        <v>57</v>
      </c>
      <c r="B247" s="152" t="s">
        <v>195</v>
      </c>
      <c r="C247" s="58" t="s">
        <v>187</v>
      </c>
      <c r="D247" s="58" t="n">
        <v>0</v>
      </c>
      <c r="E247" s="58" t="n">
        <v>0</v>
      </c>
      <c r="F247" s="58" t="n">
        <v>0</v>
      </c>
      <c r="G247" s="58" t="n">
        <v>0</v>
      </c>
      <c r="H247" s="58" t="n">
        <v>0</v>
      </c>
      <c r="I247" s="58" t="n">
        <v>0</v>
      </c>
      <c r="J247" s="58" t="n">
        <v>231</v>
      </c>
      <c r="K247" s="58" t="n">
        <v>24</v>
      </c>
      <c r="L247" s="58" t="n">
        <v>255</v>
      </c>
      <c r="M247" s="58" t="n">
        <v>231</v>
      </c>
      <c r="N247" s="58" t="n">
        <v>24</v>
      </c>
      <c r="O247" s="59" t="n">
        <v>255</v>
      </c>
      <c r="P247" s="60" t="n">
        <f aca="false">+(N247-M247)/O247</f>
        <v>-0.811764705882353</v>
      </c>
      <c r="Q247" s="61" t="n">
        <v>1</v>
      </c>
      <c r="R247" s="151" t="s">
        <v>57</v>
      </c>
      <c r="S247" s="46"/>
      <c r="T247" s="46"/>
      <c r="U247" s="46"/>
      <c r="V247" s="46"/>
      <c r="W247" s="46"/>
      <c r="X247" s="46"/>
      <c r="Y247" s="46"/>
      <c r="Z247" s="46"/>
    </row>
    <row r="248" customFormat="false" ht="15.75" hidden="false" customHeight="true" outlineLevel="0" collapsed="false">
      <c r="A248" s="151" t="s">
        <v>60</v>
      </c>
      <c r="B248" s="152" t="s">
        <v>195</v>
      </c>
      <c r="C248" s="58" t="s">
        <v>187</v>
      </c>
      <c r="D248" s="58" t="n">
        <v>0</v>
      </c>
      <c r="E248" s="58" t="n">
        <v>0</v>
      </c>
      <c r="F248" s="58" t="n">
        <v>0</v>
      </c>
      <c r="G248" s="58" t="n">
        <v>0</v>
      </c>
      <c r="H248" s="58" t="n">
        <v>0</v>
      </c>
      <c r="I248" s="58" t="n">
        <v>0</v>
      </c>
      <c r="J248" s="58" t="n">
        <v>126</v>
      </c>
      <c r="K248" s="58" t="n">
        <v>18</v>
      </c>
      <c r="L248" s="58" t="n">
        <v>144</v>
      </c>
      <c r="M248" s="58" t="n">
        <v>126</v>
      </c>
      <c r="N248" s="58" t="n">
        <v>18</v>
      </c>
      <c r="O248" s="59" t="n">
        <v>144</v>
      </c>
      <c r="P248" s="60" t="n">
        <f aca="false">+(N248-M248)/O248</f>
        <v>-0.75</v>
      </c>
      <c r="Q248" s="61" t="n">
        <v>1</v>
      </c>
      <c r="R248" s="151" t="s">
        <v>60</v>
      </c>
      <c r="S248" s="46"/>
      <c r="T248" s="46"/>
      <c r="U248" s="46"/>
      <c r="V248" s="46"/>
      <c r="W248" s="46"/>
      <c r="X248" s="46"/>
      <c r="Y248" s="46"/>
      <c r="Z248" s="46"/>
    </row>
    <row r="249" customFormat="false" ht="15.75" hidden="false" customHeight="true" outlineLevel="0" collapsed="false">
      <c r="A249" s="151" t="s">
        <v>196</v>
      </c>
      <c r="B249" s="152" t="s">
        <v>195</v>
      </c>
      <c r="C249" s="58" t="s">
        <v>187</v>
      </c>
      <c r="D249" s="58" t="n">
        <v>0</v>
      </c>
      <c r="E249" s="58" t="n">
        <v>0</v>
      </c>
      <c r="F249" s="58" t="n">
        <v>0</v>
      </c>
      <c r="G249" s="58" t="n">
        <v>0</v>
      </c>
      <c r="H249" s="58" t="n">
        <v>0</v>
      </c>
      <c r="I249" s="58" t="n">
        <v>0</v>
      </c>
      <c r="J249" s="58" t="n">
        <v>55</v>
      </c>
      <c r="K249" s="58" t="n">
        <v>8</v>
      </c>
      <c r="L249" s="58" t="n">
        <v>63</v>
      </c>
      <c r="M249" s="58" t="n">
        <v>55</v>
      </c>
      <c r="N249" s="58" t="n">
        <v>8</v>
      </c>
      <c r="O249" s="59" t="n">
        <v>63</v>
      </c>
      <c r="P249" s="60" t="n">
        <f aca="false">+(N249-M249)/O249</f>
        <v>-0.746031746031746</v>
      </c>
      <c r="Q249" s="61" t="n">
        <v>1</v>
      </c>
      <c r="R249" s="151" t="s">
        <v>196</v>
      </c>
      <c r="S249" s="46"/>
      <c r="T249" s="46"/>
      <c r="U249" s="46"/>
      <c r="V249" s="46"/>
      <c r="W249" s="46"/>
      <c r="X249" s="46"/>
      <c r="Y249" s="46"/>
      <c r="Z249" s="46"/>
    </row>
    <row r="250" customFormat="false" ht="15.75" hidden="false" customHeight="true" outlineLevel="0" collapsed="false">
      <c r="A250" s="151" t="s">
        <v>197</v>
      </c>
      <c r="B250" s="152" t="s">
        <v>195</v>
      </c>
      <c r="C250" s="58" t="s">
        <v>187</v>
      </c>
      <c r="D250" s="58" t="n">
        <v>0</v>
      </c>
      <c r="E250" s="58" t="n">
        <v>0</v>
      </c>
      <c r="F250" s="58" t="n">
        <v>0</v>
      </c>
      <c r="G250" s="58" t="n">
        <v>0</v>
      </c>
      <c r="H250" s="58" t="n">
        <v>0</v>
      </c>
      <c r="I250" s="58" t="n">
        <v>0</v>
      </c>
      <c r="J250" s="58" t="n">
        <v>163</v>
      </c>
      <c r="K250" s="58" t="n">
        <v>36</v>
      </c>
      <c r="L250" s="58" t="n">
        <v>199</v>
      </c>
      <c r="M250" s="58" t="n">
        <v>163</v>
      </c>
      <c r="N250" s="58" t="n">
        <v>36</v>
      </c>
      <c r="O250" s="59" t="n">
        <v>199</v>
      </c>
      <c r="P250" s="60" t="n">
        <f aca="false">+(N250-M250)/O250</f>
        <v>-0.638190954773869</v>
      </c>
      <c r="Q250" s="61" t="n">
        <v>1</v>
      </c>
      <c r="R250" s="151" t="s">
        <v>197</v>
      </c>
      <c r="S250" s="46"/>
      <c r="T250" s="46"/>
      <c r="U250" s="46"/>
      <c r="V250" s="46"/>
      <c r="W250" s="46"/>
      <c r="X250" s="46"/>
      <c r="Y250" s="46"/>
      <c r="Z250" s="46"/>
    </row>
    <row r="251" customFormat="false" ht="15.75" hidden="false" customHeight="true" outlineLevel="0" collapsed="false">
      <c r="A251" s="151" t="s">
        <v>198</v>
      </c>
      <c r="B251" s="152" t="s">
        <v>199</v>
      </c>
      <c r="C251" s="58" t="s">
        <v>187</v>
      </c>
      <c r="D251" s="58" t="n">
        <v>0</v>
      </c>
      <c r="E251" s="58" t="n">
        <v>0</v>
      </c>
      <c r="F251" s="58" t="n">
        <v>0</v>
      </c>
      <c r="G251" s="58" t="n">
        <v>0</v>
      </c>
      <c r="H251" s="58" t="n">
        <v>0</v>
      </c>
      <c r="I251" s="58" t="n">
        <v>0</v>
      </c>
      <c r="J251" s="58" t="n">
        <v>122</v>
      </c>
      <c r="K251" s="58" t="n">
        <v>108</v>
      </c>
      <c r="L251" s="58" t="n">
        <v>230</v>
      </c>
      <c r="M251" s="58" t="n">
        <v>122</v>
      </c>
      <c r="N251" s="58" t="n">
        <v>108</v>
      </c>
      <c r="O251" s="59" t="n">
        <v>230</v>
      </c>
      <c r="P251" s="52" t="n">
        <f aca="false">+(N251-M251)/O251</f>
        <v>-0.0608695652173913</v>
      </c>
      <c r="Q251" s="2" t="n">
        <v>0</v>
      </c>
      <c r="R251" s="46"/>
      <c r="S251" s="46"/>
      <c r="T251" s="46"/>
      <c r="U251" s="46"/>
      <c r="V251" s="46"/>
      <c r="W251" s="46"/>
      <c r="X251" s="46"/>
      <c r="Y251" s="46"/>
      <c r="Z251" s="46"/>
    </row>
    <row r="252" customFormat="false" ht="15.75" hidden="false" customHeight="true" outlineLevel="0" collapsed="false">
      <c r="A252" s="151" t="s">
        <v>200</v>
      </c>
      <c r="B252" s="152" t="s">
        <v>199</v>
      </c>
      <c r="C252" s="58" t="s">
        <v>187</v>
      </c>
      <c r="D252" s="58" t="n">
        <v>0</v>
      </c>
      <c r="E252" s="58" t="n">
        <v>0</v>
      </c>
      <c r="F252" s="58" t="n">
        <v>0</v>
      </c>
      <c r="G252" s="58" t="n">
        <v>0</v>
      </c>
      <c r="H252" s="58" t="n">
        <v>0</v>
      </c>
      <c r="I252" s="58" t="n">
        <v>0</v>
      </c>
      <c r="J252" s="58" t="n">
        <v>37</v>
      </c>
      <c r="K252" s="58" t="n">
        <v>23</v>
      </c>
      <c r="L252" s="58" t="n">
        <v>60</v>
      </c>
      <c r="M252" s="58" t="n">
        <v>37</v>
      </c>
      <c r="N252" s="58" t="n">
        <v>23</v>
      </c>
      <c r="O252" s="59" t="n">
        <v>60</v>
      </c>
      <c r="P252" s="52" t="n">
        <f aca="false">+(N252-M252)/O252</f>
        <v>-0.233333333333333</v>
      </c>
      <c r="Q252" s="2" t="n">
        <v>0</v>
      </c>
      <c r="R252" s="46"/>
      <c r="S252" s="46"/>
      <c r="T252" s="46"/>
      <c r="U252" s="46"/>
      <c r="V252" s="46"/>
      <c r="W252" s="46"/>
      <c r="X252" s="46"/>
      <c r="Y252" s="46"/>
      <c r="Z252" s="46"/>
    </row>
    <row r="253" customFormat="false" ht="15.75" hidden="false" customHeight="true" outlineLevel="0" collapsed="false">
      <c r="A253" s="149" t="s">
        <v>201</v>
      </c>
      <c r="B253" s="150" t="s">
        <v>199</v>
      </c>
      <c r="C253" s="50" t="s">
        <v>187</v>
      </c>
      <c r="D253" s="50" t="n">
        <v>0</v>
      </c>
      <c r="E253" s="50" t="n">
        <v>0</v>
      </c>
      <c r="F253" s="50" t="n">
        <v>0</v>
      </c>
      <c r="G253" s="50" t="n">
        <v>0</v>
      </c>
      <c r="H253" s="50" t="n">
        <v>0</v>
      </c>
      <c r="I253" s="50" t="n">
        <v>0</v>
      </c>
      <c r="J253" s="50" t="n">
        <v>62</v>
      </c>
      <c r="K253" s="50" t="n">
        <v>174</v>
      </c>
      <c r="L253" s="50" t="n">
        <v>236</v>
      </c>
      <c r="M253" s="50" t="n">
        <v>62</v>
      </c>
      <c r="N253" s="50" t="n">
        <v>174</v>
      </c>
      <c r="O253" s="51" t="n">
        <v>236</v>
      </c>
      <c r="P253" s="52" t="n">
        <f aca="false">+(N253-M253)/O253</f>
        <v>0.474576271186441</v>
      </c>
      <c r="R253" s="46"/>
      <c r="S253" s="46"/>
      <c r="T253" s="46"/>
      <c r="U253" s="46"/>
      <c r="V253" s="46"/>
      <c r="W253" s="46"/>
      <c r="X253" s="46"/>
      <c r="Y253" s="46"/>
      <c r="Z253" s="46"/>
    </row>
    <row r="254" customFormat="false" ht="15.75" hidden="false" customHeight="true" outlineLevel="0" collapsed="false">
      <c r="A254" s="149" t="s">
        <v>202</v>
      </c>
      <c r="B254" s="150" t="s">
        <v>199</v>
      </c>
      <c r="C254" s="50" t="s">
        <v>187</v>
      </c>
      <c r="D254" s="50" t="n">
        <v>0</v>
      </c>
      <c r="E254" s="50" t="n">
        <v>0</v>
      </c>
      <c r="F254" s="50" t="n">
        <v>0</v>
      </c>
      <c r="G254" s="50" t="n">
        <v>0</v>
      </c>
      <c r="H254" s="50" t="n">
        <v>0</v>
      </c>
      <c r="I254" s="50" t="n">
        <v>0</v>
      </c>
      <c r="J254" s="50" t="n">
        <v>37</v>
      </c>
      <c r="K254" s="50" t="n">
        <v>67</v>
      </c>
      <c r="L254" s="50" t="n">
        <v>104</v>
      </c>
      <c r="M254" s="50" t="n">
        <v>37</v>
      </c>
      <c r="N254" s="50" t="n">
        <v>67</v>
      </c>
      <c r="O254" s="51" t="n">
        <v>104</v>
      </c>
      <c r="P254" s="52" t="n">
        <f aca="false">+(N254-M254)/O254</f>
        <v>0.288461538461538</v>
      </c>
      <c r="R254" s="46"/>
      <c r="S254" s="46"/>
      <c r="T254" s="46"/>
      <c r="U254" s="46"/>
      <c r="V254" s="46"/>
      <c r="W254" s="46"/>
      <c r="X254" s="46"/>
      <c r="Y254" s="46"/>
      <c r="Z254" s="46"/>
    </row>
    <row r="255" customFormat="false" ht="15.75" hidden="false" customHeight="true" outlineLevel="0" collapsed="false">
      <c r="A255" s="109" t="s">
        <v>46</v>
      </c>
      <c r="B255" s="109"/>
      <c r="C255" s="109"/>
      <c r="D255" s="44" t="n">
        <f aca="false">SUM(D242:D254)</f>
        <v>0</v>
      </c>
      <c r="E255" s="44" t="n">
        <f aca="false">SUM(E242:E254)</f>
        <v>0</v>
      </c>
      <c r="F255" s="44" t="n">
        <f aca="false">SUM(F242:F254)</f>
        <v>0</v>
      </c>
      <c r="G255" s="44" t="n">
        <f aca="false">SUM(G242:G254)</f>
        <v>0</v>
      </c>
      <c r="H255" s="44" t="n">
        <f aca="false">SUM(H242:H254)</f>
        <v>0</v>
      </c>
      <c r="I255" s="44" t="n">
        <f aca="false">SUM(I242:I254)</f>
        <v>0</v>
      </c>
      <c r="J255" s="44" t="n">
        <f aca="false">SUM(J242:J254)</f>
        <v>1340</v>
      </c>
      <c r="K255" s="44" t="n">
        <f aca="false">SUM(K242:K254)</f>
        <v>790</v>
      </c>
      <c r="L255" s="44" t="n">
        <f aca="false">SUM(L242:L254)</f>
        <v>2130</v>
      </c>
      <c r="M255" s="44" t="n">
        <f aca="false">SUM(M242:M254)</f>
        <v>1340</v>
      </c>
      <c r="N255" s="44" t="n">
        <f aca="false">SUM(N242:N254)</f>
        <v>790</v>
      </c>
      <c r="O255" s="45" t="n">
        <f aca="false">SUM(O242:O254)</f>
        <v>2130</v>
      </c>
      <c r="P255" s="52"/>
      <c r="R255" s="46"/>
      <c r="S255" s="46"/>
      <c r="T255" s="46"/>
      <c r="U255" s="46"/>
      <c r="V255" s="46"/>
      <c r="W255" s="46"/>
      <c r="X255" s="46"/>
      <c r="Y255" s="46"/>
      <c r="Z255" s="46"/>
    </row>
    <row r="256" customFormat="false" ht="15.75" hidden="false" customHeight="true" outlineLevel="0" collapsed="false">
      <c r="A256" s="75"/>
      <c r="B256" s="76"/>
      <c r="C256" s="4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52"/>
      <c r="R256" s="46"/>
      <c r="S256" s="46"/>
      <c r="T256" s="46"/>
      <c r="U256" s="46"/>
      <c r="V256" s="46"/>
      <c r="W256" s="46"/>
      <c r="X256" s="46"/>
      <c r="Y256" s="46"/>
      <c r="Z256" s="46"/>
    </row>
    <row r="257" customFormat="false" ht="15.75" hidden="false" customHeight="true" outlineLevel="0" collapsed="false">
      <c r="A257" s="78" t="s">
        <v>68</v>
      </c>
      <c r="B257" s="89"/>
      <c r="C257" s="89"/>
      <c r="D257" s="44" t="s">
        <v>23</v>
      </c>
      <c r="E257" s="44" t="s">
        <v>24</v>
      </c>
      <c r="F257" s="44" t="s">
        <v>25</v>
      </c>
      <c r="G257" s="44" t="s">
        <v>23</v>
      </c>
      <c r="H257" s="44" t="s">
        <v>24</v>
      </c>
      <c r="I257" s="44" t="s">
        <v>25</v>
      </c>
      <c r="J257" s="44" t="s">
        <v>23</v>
      </c>
      <c r="K257" s="44" t="s">
        <v>24</v>
      </c>
      <c r="L257" s="44" t="s">
        <v>25</v>
      </c>
      <c r="M257" s="44" t="s">
        <v>23</v>
      </c>
      <c r="N257" s="44" t="s">
        <v>24</v>
      </c>
      <c r="O257" s="45" t="s">
        <v>25</v>
      </c>
      <c r="P257" s="90"/>
      <c r="Q257" s="7"/>
      <c r="R257" s="91"/>
      <c r="S257" s="91"/>
      <c r="T257" s="91"/>
      <c r="U257" s="91"/>
      <c r="V257" s="91"/>
      <c r="W257" s="91"/>
      <c r="X257" s="91"/>
      <c r="Y257" s="91"/>
      <c r="Z257" s="91"/>
    </row>
    <row r="258" customFormat="false" ht="15.75" hidden="false" customHeight="true" outlineLevel="0" collapsed="false">
      <c r="A258" s="95" t="s">
        <v>203</v>
      </c>
      <c r="B258" s="63"/>
      <c r="C258" s="50" t="s">
        <v>111</v>
      </c>
      <c r="D258" s="50" t="n">
        <v>0</v>
      </c>
      <c r="E258" s="50" t="n">
        <v>0</v>
      </c>
      <c r="F258" s="50" t="n">
        <v>0</v>
      </c>
      <c r="G258" s="50" t="n">
        <v>0</v>
      </c>
      <c r="H258" s="50" t="n">
        <v>0</v>
      </c>
      <c r="I258" s="50" t="n">
        <v>0</v>
      </c>
      <c r="J258" s="50" t="n">
        <v>0</v>
      </c>
      <c r="K258" s="50" t="n">
        <v>0</v>
      </c>
      <c r="L258" s="50" t="n">
        <v>0</v>
      </c>
      <c r="M258" s="50" t="n">
        <v>0</v>
      </c>
      <c r="N258" s="50" t="n">
        <v>0</v>
      </c>
      <c r="O258" s="51" t="n">
        <v>0</v>
      </c>
      <c r="P258" s="52"/>
      <c r="R258" s="46"/>
      <c r="S258" s="46"/>
      <c r="T258" s="46"/>
      <c r="U258" s="46"/>
      <c r="V258" s="46"/>
      <c r="W258" s="46"/>
      <c r="X258" s="46"/>
      <c r="Y258" s="46"/>
      <c r="Z258" s="46"/>
    </row>
    <row r="259" customFormat="false" ht="15.75" hidden="false" customHeight="true" outlineLevel="0" collapsed="false">
      <c r="A259" s="95" t="s">
        <v>70</v>
      </c>
      <c r="B259" s="96"/>
      <c r="C259" s="96"/>
      <c r="D259" s="50"/>
      <c r="E259" s="50"/>
      <c r="F259" s="50"/>
      <c r="G259" s="50"/>
      <c r="H259" s="50"/>
      <c r="I259" s="96"/>
      <c r="J259" s="50"/>
      <c r="K259" s="50"/>
      <c r="L259" s="50"/>
      <c r="M259" s="50"/>
      <c r="N259" s="50"/>
      <c r="O259" s="51"/>
      <c r="P259" s="52"/>
      <c r="R259" s="46"/>
      <c r="S259" s="46"/>
      <c r="T259" s="46"/>
      <c r="U259" s="46"/>
      <c r="V259" s="46"/>
      <c r="W259" s="46"/>
      <c r="X259" s="46"/>
      <c r="Y259" s="46"/>
      <c r="Z259" s="46"/>
    </row>
    <row r="260" customFormat="false" ht="15.75" hidden="false" customHeight="true" outlineLevel="0" collapsed="false">
      <c r="A260" s="97" t="s">
        <v>71</v>
      </c>
      <c r="B260" s="98"/>
      <c r="C260" s="98"/>
      <c r="D260" s="124"/>
      <c r="E260" s="124"/>
      <c r="F260" s="124"/>
      <c r="G260" s="124"/>
      <c r="H260" s="124"/>
      <c r="I260" s="98"/>
      <c r="J260" s="124"/>
      <c r="K260" s="124"/>
      <c r="L260" s="124"/>
      <c r="M260" s="124"/>
      <c r="N260" s="124"/>
      <c r="O260" s="126"/>
      <c r="P260" s="52"/>
      <c r="R260" s="46"/>
      <c r="S260" s="46"/>
      <c r="T260" s="46"/>
      <c r="U260" s="46"/>
      <c r="V260" s="46"/>
      <c r="W260" s="46"/>
      <c r="X260" s="46"/>
      <c r="Y260" s="46"/>
      <c r="Z260" s="46"/>
    </row>
    <row r="261" customFormat="false" ht="15.75" hidden="false" customHeight="true" outlineLevel="0" collapsed="false">
      <c r="A261" s="109" t="s">
        <v>46</v>
      </c>
      <c r="B261" s="109"/>
      <c r="C261" s="109"/>
      <c r="D261" s="44" t="n">
        <f aca="false">SUM(D258:D260)</f>
        <v>0</v>
      </c>
      <c r="E261" s="44" t="n">
        <v>0</v>
      </c>
      <c r="F261" s="44" t="n">
        <v>0</v>
      </c>
      <c r="G261" s="44" t="n">
        <v>0</v>
      </c>
      <c r="H261" s="44" t="n">
        <v>0</v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5" t="n">
        <v>0</v>
      </c>
      <c r="P261" s="52"/>
      <c r="R261" s="46"/>
      <c r="S261" s="46"/>
      <c r="T261" s="46"/>
      <c r="U261" s="46"/>
      <c r="V261" s="46"/>
      <c r="W261" s="46"/>
      <c r="X261" s="46"/>
      <c r="Y261" s="46"/>
      <c r="Z261" s="46"/>
    </row>
    <row r="262" customFormat="false" ht="15.75" hidden="false" customHeight="true" outlineLevel="0" collapsed="false">
      <c r="A262" s="67"/>
      <c r="B262" s="76"/>
      <c r="C262" s="76"/>
      <c r="D262" s="2"/>
      <c r="E262" s="2"/>
      <c r="F262" s="2"/>
      <c r="G262" s="2"/>
      <c r="H262" s="2"/>
      <c r="I262" s="76"/>
      <c r="J262" s="2"/>
      <c r="K262" s="2"/>
      <c r="L262" s="2"/>
      <c r="M262" s="2"/>
      <c r="N262" s="2"/>
      <c r="O262" s="2"/>
      <c r="P262" s="52"/>
      <c r="R262" s="46"/>
      <c r="S262" s="46"/>
      <c r="T262" s="46"/>
      <c r="U262" s="46"/>
      <c r="V262" s="46"/>
      <c r="W262" s="46"/>
      <c r="X262" s="46"/>
      <c r="Y262" s="46"/>
      <c r="Z262" s="46"/>
    </row>
    <row r="263" customFormat="false" ht="15.75" hidden="false" customHeight="true" outlineLevel="0" collapsed="false">
      <c r="A263" s="78" t="s">
        <v>72</v>
      </c>
      <c r="B263" s="69"/>
      <c r="C263" s="69"/>
      <c r="D263" s="44" t="s">
        <v>23</v>
      </c>
      <c r="E263" s="44" t="s">
        <v>24</v>
      </c>
      <c r="F263" s="44" t="s">
        <v>25</v>
      </c>
      <c r="G263" s="44" t="s">
        <v>23</v>
      </c>
      <c r="H263" s="44" t="s">
        <v>24</v>
      </c>
      <c r="I263" s="44" t="s">
        <v>25</v>
      </c>
      <c r="J263" s="44" t="s">
        <v>23</v>
      </c>
      <c r="K263" s="44" t="s">
        <v>24</v>
      </c>
      <c r="L263" s="44" t="s">
        <v>25</v>
      </c>
      <c r="M263" s="44" t="s">
        <v>23</v>
      </c>
      <c r="N263" s="44" t="s">
        <v>24</v>
      </c>
      <c r="O263" s="45" t="s">
        <v>25</v>
      </c>
      <c r="P263" s="52"/>
      <c r="R263" s="46"/>
      <c r="S263" s="46"/>
      <c r="T263" s="46"/>
      <c r="U263" s="46"/>
      <c r="V263" s="46"/>
      <c r="W263" s="46"/>
      <c r="X263" s="46"/>
      <c r="Y263" s="46"/>
      <c r="Z263" s="46"/>
    </row>
    <row r="264" customFormat="false" ht="15.75" hidden="false" customHeight="true" outlineLevel="0" collapsed="false">
      <c r="A264" s="164" t="s">
        <v>204</v>
      </c>
      <c r="B264" s="152" t="s">
        <v>195</v>
      </c>
      <c r="C264" s="165" t="s">
        <v>187</v>
      </c>
      <c r="D264" s="58" t="n">
        <v>0</v>
      </c>
      <c r="E264" s="58" t="n">
        <v>0</v>
      </c>
      <c r="F264" s="58" t="n">
        <v>0</v>
      </c>
      <c r="G264" s="58" t="n">
        <v>0</v>
      </c>
      <c r="H264" s="58" t="n">
        <v>0</v>
      </c>
      <c r="I264" s="58" t="n">
        <v>0</v>
      </c>
      <c r="J264" s="58" t="n">
        <v>9</v>
      </c>
      <c r="K264" s="58" t="n">
        <v>2</v>
      </c>
      <c r="L264" s="58" t="n">
        <v>11</v>
      </c>
      <c r="M264" s="58" t="n">
        <v>9</v>
      </c>
      <c r="N264" s="58" t="n">
        <v>2</v>
      </c>
      <c r="O264" s="59" t="n">
        <v>11</v>
      </c>
      <c r="P264" s="60" t="n">
        <f aca="false">+(N264-M264)/O264</f>
        <v>-0.636363636363636</v>
      </c>
      <c r="Q264" s="61" t="n">
        <v>1</v>
      </c>
      <c r="R264" s="164" t="s">
        <v>204</v>
      </c>
      <c r="S264" s="46"/>
      <c r="T264" s="46"/>
      <c r="U264" s="46"/>
      <c r="V264" s="46"/>
      <c r="W264" s="46"/>
      <c r="X264" s="46"/>
      <c r="Y264" s="46"/>
      <c r="Z264" s="46"/>
    </row>
    <row r="265" customFormat="false" ht="15.75" hidden="false" customHeight="true" outlineLevel="0" collapsed="false">
      <c r="A265" s="166" t="s">
        <v>205</v>
      </c>
      <c r="B265" s="152" t="s">
        <v>195</v>
      </c>
      <c r="C265" s="103" t="s">
        <v>187</v>
      </c>
      <c r="D265" s="58" t="n">
        <v>0</v>
      </c>
      <c r="E265" s="58" t="n">
        <v>0</v>
      </c>
      <c r="F265" s="58" t="n">
        <v>0</v>
      </c>
      <c r="G265" s="58" t="n">
        <v>0</v>
      </c>
      <c r="H265" s="58" t="n">
        <v>0</v>
      </c>
      <c r="I265" s="58" t="n">
        <v>0</v>
      </c>
      <c r="J265" s="58" t="n">
        <v>9</v>
      </c>
      <c r="K265" s="58" t="n">
        <v>1</v>
      </c>
      <c r="L265" s="58" t="n">
        <v>10</v>
      </c>
      <c r="M265" s="58" t="n">
        <v>9</v>
      </c>
      <c r="N265" s="58" t="n">
        <v>1</v>
      </c>
      <c r="O265" s="59" t="n">
        <v>10</v>
      </c>
      <c r="P265" s="60" t="n">
        <f aca="false">+(N265-M265)/O265</f>
        <v>-0.8</v>
      </c>
      <c r="Q265" s="61" t="n">
        <v>1</v>
      </c>
      <c r="R265" s="166" t="s">
        <v>205</v>
      </c>
      <c r="S265" s="46"/>
      <c r="T265" s="46"/>
      <c r="U265" s="46"/>
      <c r="V265" s="46"/>
      <c r="W265" s="46"/>
      <c r="X265" s="46"/>
      <c r="Y265" s="46"/>
      <c r="Z265" s="46"/>
    </row>
    <row r="266" customFormat="false" ht="15.75" hidden="false" customHeight="true" outlineLevel="0" collapsed="false">
      <c r="A266" s="167" t="s">
        <v>206</v>
      </c>
      <c r="B266" s="150" t="s">
        <v>199</v>
      </c>
      <c r="C266" s="93" t="s">
        <v>187</v>
      </c>
      <c r="D266" s="50" t="n">
        <v>0</v>
      </c>
      <c r="E266" s="50" t="n">
        <v>0</v>
      </c>
      <c r="F266" s="50" t="n">
        <v>0</v>
      </c>
      <c r="G266" s="50" t="n">
        <v>0</v>
      </c>
      <c r="H266" s="50" t="n">
        <v>0</v>
      </c>
      <c r="I266" s="50" t="n">
        <v>0</v>
      </c>
      <c r="J266" s="50" t="n">
        <v>3</v>
      </c>
      <c r="K266" s="50" t="n">
        <v>5</v>
      </c>
      <c r="L266" s="50" t="n">
        <v>8</v>
      </c>
      <c r="M266" s="50" t="n">
        <v>3</v>
      </c>
      <c r="N266" s="50" t="n">
        <v>5</v>
      </c>
      <c r="O266" s="51" t="n">
        <v>8</v>
      </c>
      <c r="P266" s="52" t="n">
        <f aca="false">+(N266-M266)/O266</f>
        <v>0.25</v>
      </c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149" t="s">
        <v>207</v>
      </c>
      <c r="B267" s="150" t="s">
        <v>192</v>
      </c>
      <c r="C267" s="50" t="s">
        <v>187</v>
      </c>
      <c r="D267" s="50" t="n">
        <v>0</v>
      </c>
      <c r="E267" s="50" t="n">
        <v>0</v>
      </c>
      <c r="F267" s="50" t="n">
        <v>0</v>
      </c>
      <c r="G267" s="50" t="n">
        <v>0</v>
      </c>
      <c r="H267" s="50" t="n">
        <v>0</v>
      </c>
      <c r="I267" s="50" t="n">
        <v>0</v>
      </c>
      <c r="J267" s="50" t="n">
        <v>6</v>
      </c>
      <c r="K267" s="50" t="n">
        <v>6</v>
      </c>
      <c r="L267" s="50" t="n">
        <v>12</v>
      </c>
      <c r="M267" s="50" t="n">
        <v>6</v>
      </c>
      <c r="N267" s="50" t="n">
        <v>6</v>
      </c>
      <c r="O267" s="51" t="n">
        <v>12</v>
      </c>
      <c r="P267" s="52" t="n">
        <f aca="false">+(N267-M267)/O267</f>
        <v>0</v>
      </c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109" t="s">
        <v>46</v>
      </c>
      <c r="B268" s="109"/>
      <c r="C268" s="109"/>
      <c r="D268" s="44" t="n">
        <f aca="false">SUM(D264:D267)</f>
        <v>0</v>
      </c>
      <c r="E268" s="44" t="n">
        <f aca="false">SUM(E264:E267)</f>
        <v>0</v>
      </c>
      <c r="F268" s="44" t="n">
        <f aca="false">SUM(F264:F267)</f>
        <v>0</v>
      </c>
      <c r="G268" s="44" t="n">
        <f aca="false">SUM(G264:G267)</f>
        <v>0</v>
      </c>
      <c r="H268" s="44" t="n">
        <f aca="false">SUM(H264:H267)</f>
        <v>0</v>
      </c>
      <c r="I268" s="44" t="n">
        <f aca="false">SUM(I264:I267)</f>
        <v>0</v>
      </c>
      <c r="J268" s="44" t="n">
        <f aca="false">SUM(J264:J267)</f>
        <v>27</v>
      </c>
      <c r="K268" s="44" t="n">
        <f aca="false">SUM(K264:K267)</f>
        <v>14</v>
      </c>
      <c r="L268" s="44" t="n">
        <f aca="false">SUM(L264:L267)</f>
        <v>41</v>
      </c>
      <c r="M268" s="44" t="n">
        <f aca="false">SUM(M264:M267)</f>
        <v>27</v>
      </c>
      <c r="N268" s="44" t="n">
        <f aca="false">SUM(N264:N267)</f>
        <v>14</v>
      </c>
      <c r="O268" s="45" t="n">
        <f aca="false">SUM(O264:O267)</f>
        <v>41</v>
      </c>
      <c r="P268" s="52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67"/>
      <c r="B269" s="76"/>
      <c r="C269" s="7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52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78" t="s">
        <v>76</v>
      </c>
      <c r="B270" s="69"/>
      <c r="C270" s="69"/>
      <c r="D270" s="44" t="s">
        <v>23</v>
      </c>
      <c r="E270" s="44" t="s">
        <v>24</v>
      </c>
      <c r="F270" s="44" t="s">
        <v>25</v>
      </c>
      <c r="G270" s="44" t="s">
        <v>23</v>
      </c>
      <c r="H270" s="44" t="s">
        <v>24</v>
      </c>
      <c r="I270" s="44" t="s">
        <v>25</v>
      </c>
      <c r="J270" s="44" t="s">
        <v>23</v>
      </c>
      <c r="K270" s="44" t="s">
        <v>24</v>
      </c>
      <c r="L270" s="44" t="s">
        <v>25</v>
      </c>
      <c r="M270" s="44" t="s">
        <v>23</v>
      </c>
      <c r="N270" s="44" t="s">
        <v>24</v>
      </c>
      <c r="O270" s="45" t="s">
        <v>25</v>
      </c>
      <c r="P270" s="52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102" t="s">
        <v>208</v>
      </c>
      <c r="B271" s="152" t="s">
        <v>199</v>
      </c>
      <c r="C271" s="58" t="s">
        <v>187</v>
      </c>
      <c r="D271" s="103" t="n">
        <v>4</v>
      </c>
      <c r="E271" s="103" t="n">
        <v>1</v>
      </c>
      <c r="F271" s="103" t="n">
        <v>5</v>
      </c>
      <c r="G271" s="103" t="n">
        <v>4</v>
      </c>
      <c r="H271" s="103" t="n">
        <v>1</v>
      </c>
      <c r="I271" s="103" t="n">
        <v>5</v>
      </c>
      <c r="J271" s="103" t="n">
        <v>3</v>
      </c>
      <c r="K271" s="103" t="n">
        <v>2</v>
      </c>
      <c r="L271" s="103" t="n">
        <v>5</v>
      </c>
      <c r="M271" s="58" t="n">
        <f aca="false">SUM(G271+J271)</f>
        <v>7</v>
      </c>
      <c r="N271" s="58" t="n">
        <f aca="false">SUM(H271+K271)</f>
        <v>3</v>
      </c>
      <c r="O271" s="59" t="n">
        <v>10</v>
      </c>
      <c r="P271" s="52" t="n">
        <f aca="false">+(N271-M271)/O271</f>
        <v>-0.4</v>
      </c>
      <c r="Q271" s="2" t="n">
        <v>0</v>
      </c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106" t="s">
        <v>209</v>
      </c>
      <c r="B272" s="152" t="s">
        <v>192</v>
      </c>
      <c r="C272" s="168" t="s">
        <v>187</v>
      </c>
      <c r="D272" s="58" t="n">
        <v>0</v>
      </c>
      <c r="E272" s="58" t="n">
        <v>0</v>
      </c>
      <c r="F272" s="58" t="n">
        <v>0</v>
      </c>
      <c r="G272" s="169" t="n">
        <v>0</v>
      </c>
      <c r="H272" s="108" t="n">
        <v>0</v>
      </c>
      <c r="I272" s="103" t="n">
        <v>0</v>
      </c>
      <c r="J272" s="108" t="n">
        <v>14</v>
      </c>
      <c r="K272" s="108" t="n">
        <v>9</v>
      </c>
      <c r="L272" s="103" t="n">
        <v>23</v>
      </c>
      <c r="M272" s="58" t="n">
        <f aca="false">SUM(G272+J272)</f>
        <v>14</v>
      </c>
      <c r="N272" s="58" t="n">
        <f aca="false">SUM(H272+K272)</f>
        <v>9</v>
      </c>
      <c r="O272" s="59" t="n">
        <v>23</v>
      </c>
      <c r="P272" s="60" t="n">
        <f aca="false">+(N272-M272)/O272</f>
        <v>-0.217391304347826</v>
      </c>
      <c r="Q272" s="61" t="n">
        <v>1</v>
      </c>
      <c r="R272" s="106" t="s">
        <v>209</v>
      </c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109" t="s">
        <v>46</v>
      </c>
      <c r="B273" s="109"/>
      <c r="C273" s="109"/>
      <c r="D273" s="44" t="n">
        <f aca="false">SUM(D271:D272)</f>
        <v>4</v>
      </c>
      <c r="E273" s="44" t="n">
        <f aca="false">SUM(E271:E272)</f>
        <v>1</v>
      </c>
      <c r="F273" s="44" t="n">
        <f aca="false">SUM(F271:F272)</f>
        <v>5</v>
      </c>
      <c r="G273" s="44" t="n">
        <f aca="false">SUM(G271:G272)</f>
        <v>4</v>
      </c>
      <c r="H273" s="44" t="n">
        <f aca="false">SUM(H271:H272)</f>
        <v>1</v>
      </c>
      <c r="I273" s="44" t="n">
        <f aca="false">SUM(I271:I272)</f>
        <v>5</v>
      </c>
      <c r="J273" s="44" t="n">
        <f aca="false">SUM(J271:J272)</f>
        <v>17</v>
      </c>
      <c r="K273" s="44" t="n">
        <f aca="false">SUM(K271:K272)</f>
        <v>11</v>
      </c>
      <c r="L273" s="44" t="n">
        <f aca="false">SUM(L271:L272)</f>
        <v>28</v>
      </c>
      <c r="M273" s="44" t="n">
        <f aca="false">SUM(M271:M272)</f>
        <v>21</v>
      </c>
      <c r="N273" s="44" t="n">
        <f aca="false">SUM(N271:N272)</f>
        <v>12</v>
      </c>
      <c r="O273" s="45" t="n">
        <f aca="false">SUM(O271:O272)</f>
        <v>33</v>
      </c>
      <c r="P273" s="52"/>
      <c r="Q273" s="5"/>
      <c r="R273" s="75"/>
      <c r="S273" s="75"/>
      <c r="T273" s="75"/>
      <c r="U273" s="75"/>
      <c r="V273" s="75"/>
      <c r="W273" s="75"/>
      <c r="X273" s="75"/>
      <c r="Y273" s="75"/>
      <c r="Z273" s="75"/>
    </row>
    <row r="274" customFormat="false" ht="15.75" hidden="false" customHeight="true" outlineLevel="0" collapsed="false">
      <c r="A274" s="111" t="s">
        <v>77</v>
      </c>
      <c r="B274" s="111"/>
      <c r="C274" s="111"/>
      <c r="D274" s="44" t="n">
        <f aca="false">SUM(D233+D255+D268+D273)</f>
        <v>4</v>
      </c>
      <c r="E274" s="44" t="n">
        <f aca="false">SUM(E233+E255+E268+E273)</f>
        <v>1</v>
      </c>
      <c r="F274" s="44" t="n">
        <f aca="false">SUM(F233+F255+F268+F273)</f>
        <v>5</v>
      </c>
      <c r="G274" s="44" t="n">
        <f aca="false">SUM(G233+G255+G268+G273)</f>
        <v>4</v>
      </c>
      <c r="H274" s="44" t="n">
        <f aca="false">SUM(H233+H255+H268+H273)</f>
        <v>1</v>
      </c>
      <c r="I274" s="44" t="n">
        <f aca="false">SUM(I233+I255+I268+I273)</f>
        <v>5</v>
      </c>
      <c r="J274" s="44" t="n">
        <f aca="false">SUM(J233+J255+J268+J273)</f>
        <v>1560</v>
      </c>
      <c r="K274" s="44" t="n">
        <f aca="false">SUM(K233+K255+K268+K273)</f>
        <v>1034</v>
      </c>
      <c r="L274" s="44" t="n">
        <f aca="false">SUM(L233+L255+L268+L273)</f>
        <v>2594</v>
      </c>
      <c r="M274" s="44" t="n">
        <f aca="false">SUM(M233+M255+M268+M273)</f>
        <v>1564</v>
      </c>
      <c r="N274" s="44" t="n">
        <f aca="false">SUM(N233+N255+N268+N273)</f>
        <v>1035</v>
      </c>
      <c r="O274" s="45" t="n">
        <f aca="false">SUM(O233+O255+O268+O273)</f>
        <v>2599</v>
      </c>
      <c r="P274" s="52"/>
    </row>
    <row r="275" customFormat="false" ht="15.75" hidden="false" customHeight="true" outlineLevel="0" collapsed="false"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2"/>
    </row>
    <row r="276" customFormat="false" ht="22.5" hidden="false" customHeight="true" outlineLevel="0" collapsed="false"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2"/>
    </row>
    <row r="277" customFormat="false" ht="27.75" hidden="false" customHeight="true" outlineLevel="0" collapsed="false"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2"/>
    </row>
    <row r="278" customFormat="false" ht="27.75" hidden="false" customHeight="true" outlineLevel="0" collapsed="false"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2"/>
    </row>
    <row r="279" customFormat="false" ht="15.75" hidden="false" customHeight="true" outlineLevel="0" collapsed="false">
      <c r="A279" s="34" t="s">
        <v>210</v>
      </c>
      <c r="B279" s="34"/>
      <c r="C279" s="34"/>
      <c r="D279" s="34"/>
      <c r="E279" s="34"/>
      <c r="F279" s="34"/>
      <c r="G279" s="35" t="s">
        <v>13</v>
      </c>
      <c r="H279" s="35"/>
      <c r="I279" s="35"/>
      <c r="J279" s="35"/>
      <c r="K279" s="35"/>
      <c r="L279" s="35"/>
      <c r="M279" s="35"/>
      <c r="N279" s="35"/>
      <c r="O279" s="35"/>
      <c r="P279" s="52"/>
    </row>
    <row r="280" customFormat="false" ht="24" hidden="false" customHeight="true" outlineLevel="0" collapsed="false">
      <c r="A280" s="68" t="s">
        <v>108</v>
      </c>
      <c r="B280" s="38" t="s">
        <v>16</v>
      </c>
      <c r="C280" s="170" t="s">
        <v>17</v>
      </c>
      <c r="D280" s="38" t="s">
        <v>18</v>
      </c>
      <c r="E280" s="38"/>
      <c r="F280" s="38"/>
      <c r="G280" s="38" t="s">
        <v>19</v>
      </c>
      <c r="H280" s="38"/>
      <c r="I280" s="38"/>
      <c r="J280" s="38" t="s">
        <v>20</v>
      </c>
      <c r="K280" s="38"/>
      <c r="L280" s="38"/>
      <c r="M280" s="38" t="s">
        <v>21</v>
      </c>
      <c r="N280" s="38"/>
      <c r="O280" s="38"/>
      <c r="P280" s="52"/>
    </row>
    <row r="281" customFormat="false" ht="15.75" hidden="false" customHeight="true" outlineLevel="0" collapsed="false">
      <c r="A281" s="171" t="s">
        <v>22</v>
      </c>
      <c r="B281" s="172"/>
      <c r="C281" s="38"/>
      <c r="D281" s="43" t="s">
        <v>23</v>
      </c>
      <c r="E281" s="44" t="s">
        <v>24</v>
      </c>
      <c r="F281" s="45" t="s">
        <v>25</v>
      </c>
      <c r="G281" s="43" t="s">
        <v>23</v>
      </c>
      <c r="H281" s="44" t="s">
        <v>24</v>
      </c>
      <c r="I281" s="45" t="s">
        <v>25</v>
      </c>
      <c r="J281" s="43" t="s">
        <v>23</v>
      </c>
      <c r="K281" s="44" t="s">
        <v>24</v>
      </c>
      <c r="L281" s="45" t="s">
        <v>25</v>
      </c>
      <c r="M281" s="114" t="s">
        <v>23</v>
      </c>
      <c r="N281" s="44" t="s">
        <v>24</v>
      </c>
      <c r="O281" s="45" t="s">
        <v>25</v>
      </c>
      <c r="P281" s="52"/>
    </row>
    <row r="282" customFormat="false" ht="15.75" hidden="false" customHeight="true" outlineLevel="0" collapsed="false">
      <c r="A282" s="149" t="s">
        <v>40</v>
      </c>
      <c r="B282" s="173" t="s">
        <v>211</v>
      </c>
      <c r="C282" s="50" t="s">
        <v>212</v>
      </c>
      <c r="D282" s="50" t="n">
        <v>0</v>
      </c>
      <c r="E282" s="50" t="n">
        <v>0</v>
      </c>
      <c r="F282" s="50" t="n">
        <v>0</v>
      </c>
      <c r="G282" s="50" t="n">
        <v>0</v>
      </c>
      <c r="H282" s="50" t="n">
        <v>0</v>
      </c>
      <c r="I282" s="50" t="n">
        <v>0</v>
      </c>
      <c r="J282" s="50" t="n">
        <v>228</v>
      </c>
      <c r="K282" s="50" t="n">
        <v>247</v>
      </c>
      <c r="L282" s="50" t="n">
        <v>475</v>
      </c>
      <c r="M282" s="50" t="n">
        <v>228</v>
      </c>
      <c r="N282" s="50" t="n">
        <v>247</v>
      </c>
      <c r="O282" s="51" t="n">
        <v>475</v>
      </c>
      <c r="P282" s="52" t="n">
        <f aca="false">+(N282-M282)/O282</f>
        <v>0.04</v>
      </c>
    </row>
    <row r="283" customFormat="false" ht="15.75" hidden="false" customHeight="true" outlineLevel="0" collapsed="false">
      <c r="A283" s="151" t="s">
        <v>213</v>
      </c>
      <c r="B283" s="152" t="s">
        <v>211</v>
      </c>
      <c r="C283" s="58" t="s">
        <v>212</v>
      </c>
      <c r="D283" s="58" t="n">
        <v>0</v>
      </c>
      <c r="E283" s="58" t="n">
        <v>0</v>
      </c>
      <c r="F283" s="58" t="n">
        <v>0</v>
      </c>
      <c r="G283" s="58" t="n">
        <v>0</v>
      </c>
      <c r="H283" s="58" t="n">
        <v>0</v>
      </c>
      <c r="I283" s="58" t="n">
        <v>0</v>
      </c>
      <c r="J283" s="58" t="n">
        <v>161</v>
      </c>
      <c r="K283" s="58" t="n">
        <v>135</v>
      </c>
      <c r="L283" s="58" t="n">
        <v>296</v>
      </c>
      <c r="M283" s="58" t="n">
        <v>161</v>
      </c>
      <c r="N283" s="58" t="n">
        <v>135</v>
      </c>
      <c r="O283" s="59" t="n">
        <v>296</v>
      </c>
      <c r="P283" s="60" t="n">
        <f aca="false">+(N283-M283)/O283</f>
        <v>-0.0878378378378378</v>
      </c>
      <c r="Q283" s="61" t="n">
        <v>1</v>
      </c>
    </row>
    <row r="284" customFormat="false" ht="15.75" hidden="false" customHeight="true" outlineLevel="0" collapsed="false">
      <c r="A284" s="149" t="s">
        <v>214</v>
      </c>
      <c r="B284" s="150" t="s">
        <v>211</v>
      </c>
      <c r="C284" s="50" t="s">
        <v>212</v>
      </c>
      <c r="D284" s="50" t="n">
        <v>0</v>
      </c>
      <c r="E284" s="50" t="n">
        <v>0</v>
      </c>
      <c r="F284" s="50" t="n">
        <v>0</v>
      </c>
      <c r="G284" s="50" t="n">
        <v>0</v>
      </c>
      <c r="H284" s="50" t="n">
        <v>0</v>
      </c>
      <c r="I284" s="50" t="n">
        <v>0</v>
      </c>
      <c r="J284" s="50" t="n">
        <v>145</v>
      </c>
      <c r="K284" s="50" t="n">
        <v>158</v>
      </c>
      <c r="L284" s="50" t="n">
        <v>303</v>
      </c>
      <c r="M284" s="50" t="n">
        <v>145</v>
      </c>
      <c r="N284" s="50" t="n">
        <v>158</v>
      </c>
      <c r="O284" s="51" t="n">
        <v>303</v>
      </c>
      <c r="P284" s="52" t="n">
        <f aca="false">+(N284-M284)/O284</f>
        <v>0.0429042904290429</v>
      </c>
    </row>
    <row r="285" customFormat="false" ht="15.75" hidden="false" customHeight="true" outlineLevel="0" collapsed="false">
      <c r="A285" s="53" t="s">
        <v>40</v>
      </c>
      <c r="B285" s="150" t="s">
        <v>215</v>
      </c>
      <c r="C285" s="50" t="s">
        <v>216</v>
      </c>
      <c r="D285" s="50" t="n">
        <v>0</v>
      </c>
      <c r="E285" s="50" t="n">
        <v>0</v>
      </c>
      <c r="F285" s="50" t="n">
        <v>0</v>
      </c>
      <c r="G285" s="50" t="n">
        <v>0</v>
      </c>
      <c r="H285" s="50" t="n">
        <v>0</v>
      </c>
      <c r="I285" s="50" t="n">
        <v>0</v>
      </c>
      <c r="J285" s="50" t="n">
        <v>44</v>
      </c>
      <c r="K285" s="50" t="n">
        <v>84</v>
      </c>
      <c r="L285" s="50" t="n">
        <v>128</v>
      </c>
      <c r="M285" s="50" t="n">
        <v>44</v>
      </c>
      <c r="N285" s="50" t="n">
        <v>84</v>
      </c>
      <c r="O285" s="51" t="n">
        <v>128</v>
      </c>
      <c r="P285" s="52" t="n">
        <f aca="false">+(N285-M285)/O285</f>
        <v>0.3125</v>
      </c>
    </row>
    <row r="286" customFormat="false" ht="15.75" hidden="false" customHeight="true" outlineLevel="0" collapsed="false">
      <c r="A286" s="149" t="s">
        <v>217</v>
      </c>
      <c r="B286" s="150" t="s">
        <v>215</v>
      </c>
      <c r="C286" s="50" t="s">
        <v>216</v>
      </c>
      <c r="D286" s="50" t="n">
        <v>0</v>
      </c>
      <c r="E286" s="50" t="n">
        <v>0</v>
      </c>
      <c r="F286" s="50" t="n">
        <v>0</v>
      </c>
      <c r="G286" s="50" t="n">
        <v>0</v>
      </c>
      <c r="H286" s="50" t="n">
        <v>0</v>
      </c>
      <c r="I286" s="50" t="n">
        <v>0</v>
      </c>
      <c r="J286" s="50" t="n">
        <v>16</v>
      </c>
      <c r="K286" s="50" t="n">
        <v>28</v>
      </c>
      <c r="L286" s="50" t="n">
        <v>44</v>
      </c>
      <c r="M286" s="50" t="n">
        <v>16</v>
      </c>
      <c r="N286" s="50" t="n">
        <v>28</v>
      </c>
      <c r="O286" s="51" t="n">
        <v>44</v>
      </c>
      <c r="P286" s="52" t="n">
        <f aca="false">+(N286-M286)/O286</f>
        <v>0.272727272727273</v>
      </c>
    </row>
    <row r="287" customFormat="false" ht="19.5" hidden="false" customHeight="true" outlineLevel="0" collapsed="false">
      <c r="A287" s="151" t="s">
        <v>218</v>
      </c>
      <c r="B287" s="152" t="s">
        <v>215</v>
      </c>
      <c r="C287" s="58" t="s">
        <v>216</v>
      </c>
      <c r="D287" s="58" t="n">
        <v>0</v>
      </c>
      <c r="E287" s="58" t="n">
        <v>0</v>
      </c>
      <c r="F287" s="58" t="n">
        <v>0</v>
      </c>
      <c r="G287" s="58" t="n">
        <v>0</v>
      </c>
      <c r="H287" s="58" t="n">
        <v>0</v>
      </c>
      <c r="I287" s="58" t="n">
        <v>0</v>
      </c>
      <c r="J287" s="58" t="n">
        <v>49</v>
      </c>
      <c r="K287" s="58" t="n">
        <v>37</v>
      </c>
      <c r="L287" s="58" t="n">
        <v>86</v>
      </c>
      <c r="M287" s="58" t="n">
        <v>49</v>
      </c>
      <c r="N287" s="58" t="n">
        <v>37</v>
      </c>
      <c r="O287" s="59" t="n">
        <v>86</v>
      </c>
      <c r="P287" s="60" t="n">
        <f aca="false">+(N287-M287)/O287</f>
        <v>-0.13953488372093</v>
      </c>
      <c r="Q287" s="61" t="n">
        <v>1</v>
      </c>
    </row>
    <row r="288" customFormat="false" ht="19.5" hidden="false" customHeight="true" outlineLevel="0" collapsed="false">
      <c r="A288" s="149" t="s">
        <v>40</v>
      </c>
      <c r="B288" s="150" t="s">
        <v>219</v>
      </c>
      <c r="C288" s="50" t="s">
        <v>220</v>
      </c>
      <c r="D288" s="50" t="n">
        <v>0</v>
      </c>
      <c r="E288" s="50" t="n">
        <v>0</v>
      </c>
      <c r="F288" s="50" t="n">
        <v>0</v>
      </c>
      <c r="G288" s="50" t="n">
        <v>0</v>
      </c>
      <c r="H288" s="50" t="n">
        <v>0</v>
      </c>
      <c r="I288" s="50" t="n">
        <v>0</v>
      </c>
      <c r="J288" s="50" t="n">
        <v>61</v>
      </c>
      <c r="K288" s="50" t="n">
        <v>108</v>
      </c>
      <c r="L288" s="50" t="n">
        <v>169</v>
      </c>
      <c r="M288" s="50" t="n">
        <v>61</v>
      </c>
      <c r="N288" s="50" t="n">
        <v>108</v>
      </c>
      <c r="O288" s="51" t="n">
        <v>169</v>
      </c>
      <c r="P288" s="52" t="n">
        <f aca="false">+(N288-M288)/O288</f>
        <v>0.27810650887574</v>
      </c>
    </row>
    <row r="289" customFormat="false" ht="18" hidden="false" customHeight="true" outlineLevel="0" collapsed="false">
      <c r="A289" s="149" t="s">
        <v>40</v>
      </c>
      <c r="B289" s="150" t="s">
        <v>221</v>
      </c>
      <c r="C289" s="50" t="s">
        <v>220</v>
      </c>
      <c r="D289" s="50" t="n">
        <v>0</v>
      </c>
      <c r="E289" s="50" t="n">
        <v>0</v>
      </c>
      <c r="F289" s="50" t="n">
        <v>0</v>
      </c>
      <c r="G289" s="50" t="n">
        <v>0</v>
      </c>
      <c r="H289" s="50" t="n">
        <v>0</v>
      </c>
      <c r="I289" s="50" t="n">
        <v>0</v>
      </c>
      <c r="J289" s="50" t="n">
        <v>66</v>
      </c>
      <c r="K289" s="50" t="n">
        <v>85</v>
      </c>
      <c r="L289" s="50" t="n">
        <v>151</v>
      </c>
      <c r="M289" s="50" t="n">
        <v>66</v>
      </c>
      <c r="N289" s="50" t="n">
        <v>85</v>
      </c>
      <c r="O289" s="51" t="n">
        <v>151</v>
      </c>
      <c r="P289" s="52" t="n">
        <f aca="false">+(N289-M289)/O289</f>
        <v>0.125827814569536</v>
      </c>
    </row>
    <row r="290" customFormat="false" ht="17.25" hidden="false" customHeight="true" outlineLevel="0" collapsed="false">
      <c r="A290" s="149" t="s">
        <v>40</v>
      </c>
      <c r="B290" s="150" t="s">
        <v>222</v>
      </c>
      <c r="C290" s="50" t="s">
        <v>212</v>
      </c>
      <c r="D290" s="50" t="n">
        <v>0</v>
      </c>
      <c r="E290" s="50" t="n">
        <v>0</v>
      </c>
      <c r="F290" s="50" t="n">
        <v>0</v>
      </c>
      <c r="G290" s="50" t="n">
        <v>0</v>
      </c>
      <c r="H290" s="50" t="n">
        <v>0</v>
      </c>
      <c r="I290" s="50" t="n">
        <v>0</v>
      </c>
      <c r="J290" s="50" t="n">
        <v>242</v>
      </c>
      <c r="K290" s="50" t="n">
        <v>376</v>
      </c>
      <c r="L290" s="50" t="n">
        <v>618</v>
      </c>
      <c r="M290" s="84" t="n">
        <v>241</v>
      </c>
      <c r="N290" s="84" t="n">
        <v>377</v>
      </c>
      <c r="O290" s="51" t="n">
        <v>618</v>
      </c>
      <c r="P290" s="52" t="n">
        <f aca="false">+(N290-M290)/O290</f>
        <v>0.220064724919094</v>
      </c>
    </row>
    <row r="291" customFormat="false" ht="16.5" hidden="false" customHeight="true" outlineLevel="0" collapsed="false">
      <c r="A291" s="149" t="s">
        <v>223</v>
      </c>
      <c r="B291" s="150" t="s">
        <v>222</v>
      </c>
      <c r="C291" s="50" t="s">
        <v>212</v>
      </c>
      <c r="D291" s="50" t="n">
        <v>0</v>
      </c>
      <c r="E291" s="50" t="n">
        <v>0</v>
      </c>
      <c r="F291" s="50" t="n">
        <v>0</v>
      </c>
      <c r="G291" s="50" t="n">
        <v>0</v>
      </c>
      <c r="H291" s="50" t="n">
        <v>0</v>
      </c>
      <c r="I291" s="50" t="n">
        <v>0</v>
      </c>
      <c r="J291" s="50" t="n">
        <v>97</v>
      </c>
      <c r="K291" s="50" t="n">
        <v>177</v>
      </c>
      <c r="L291" s="50" t="n">
        <v>274</v>
      </c>
      <c r="M291" s="50" t="n">
        <v>97</v>
      </c>
      <c r="N291" s="50" t="n">
        <v>177</v>
      </c>
      <c r="O291" s="51" t="n">
        <v>274</v>
      </c>
      <c r="P291" s="52" t="n">
        <f aca="false">+(N291-M291)/O291</f>
        <v>0.291970802919708</v>
      </c>
    </row>
    <row r="292" customFormat="false" ht="18" hidden="false" customHeight="true" outlineLevel="0" collapsed="false">
      <c r="A292" s="174" t="s">
        <v>224</v>
      </c>
      <c r="B292" s="152" t="s">
        <v>222</v>
      </c>
      <c r="C292" s="58" t="s">
        <v>212</v>
      </c>
      <c r="D292" s="58" t="n">
        <v>0</v>
      </c>
      <c r="E292" s="58" t="n">
        <v>0</v>
      </c>
      <c r="F292" s="58" t="n">
        <v>0</v>
      </c>
      <c r="G292" s="58" t="n">
        <v>0</v>
      </c>
      <c r="H292" s="58" t="n">
        <v>0</v>
      </c>
      <c r="I292" s="58" t="n">
        <v>0</v>
      </c>
      <c r="J292" s="58" t="n">
        <v>103</v>
      </c>
      <c r="K292" s="58" t="n">
        <v>39</v>
      </c>
      <c r="L292" s="58" t="n">
        <v>142</v>
      </c>
      <c r="M292" s="58" t="n">
        <v>103</v>
      </c>
      <c r="N292" s="58" t="n">
        <v>39</v>
      </c>
      <c r="O292" s="59" t="n">
        <v>142</v>
      </c>
      <c r="P292" s="60" t="n">
        <f aca="false">+(N292-M292)/O292</f>
        <v>-0.450704225352113</v>
      </c>
      <c r="Q292" s="61" t="n">
        <v>1</v>
      </c>
    </row>
    <row r="293" customFormat="false" ht="18" hidden="false" customHeight="true" outlineLevel="0" collapsed="false">
      <c r="A293" s="151" t="s">
        <v>40</v>
      </c>
      <c r="B293" s="152" t="s">
        <v>225</v>
      </c>
      <c r="C293" s="58" t="s">
        <v>220</v>
      </c>
      <c r="D293" s="58" t="n">
        <v>0</v>
      </c>
      <c r="E293" s="58" t="n">
        <v>0</v>
      </c>
      <c r="F293" s="58" t="n">
        <v>0</v>
      </c>
      <c r="G293" s="58" t="n">
        <v>0</v>
      </c>
      <c r="H293" s="58" t="n">
        <v>0</v>
      </c>
      <c r="I293" s="58" t="n">
        <v>0</v>
      </c>
      <c r="J293" s="58" t="n">
        <v>116</v>
      </c>
      <c r="K293" s="58" t="n">
        <v>114</v>
      </c>
      <c r="L293" s="58" t="n">
        <v>230</v>
      </c>
      <c r="M293" s="58" t="n">
        <v>116</v>
      </c>
      <c r="N293" s="58" t="n">
        <v>114</v>
      </c>
      <c r="O293" s="59" t="n">
        <v>230</v>
      </c>
      <c r="P293" s="52" t="n">
        <f aca="false">+(N293-M293)/O293</f>
        <v>-0.00869565217391304</v>
      </c>
      <c r="Q293" s="2" t="n">
        <v>0</v>
      </c>
    </row>
    <row r="294" customFormat="false" ht="18" hidden="false" customHeight="true" outlineLevel="0" collapsed="false">
      <c r="A294" s="175" t="s">
        <v>223</v>
      </c>
      <c r="B294" s="173" t="s">
        <v>225</v>
      </c>
      <c r="C294" s="50" t="s">
        <v>220</v>
      </c>
      <c r="D294" s="50" t="n">
        <v>0</v>
      </c>
      <c r="E294" s="50" t="n">
        <v>0</v>
      </c>
      <c r="F294" s="50" t="n">
        <v>0</v>
      </c>
      <c r="G294" s="50" t="n">
        <v>0</v>
      </c>
      <c r="H294" s="50" t="n">
        <v>0</v>
      </c>
      <c r="I294" s="50" t="n">
        <v>0</v>
      </c>
      <c r="J294" s="50" t="n">
        <v>44</v>
      </c>
      <c r="K294" s="50" t="n">
        <v>78</v>
      </c>
      <c r="L294" s="50" t="n">
        <v>122</v>
      </c>
      <c r="M294" s="50" t="n">
        <v>44</v>
      </c>
      <c r="N294" s="50" t="n">
        <v>78</v>
      </c>
      <c r="O294" s="51" t="n">
        <v>122</v>
      </c>
      <c r="P294" s="52" t="n">
        <f aca="false">+(N294-M294)/O294</f>
        <v>0.278688524590164</v>
      </c>
    </row>
    <row r="295" customFormat="false" ht="18" hidden="false" customHeight="true" outlineLevel="0" collapsed="false">
      <c r="A295" s="149" t="s">
        <v>217</v>
      </c>
      <c r="B295" s="150" t="s">
        <v>226</v>
      </c>
      <c r="C295" s="50" t="s">
        <v>227</v>
      </c>
      <c r="D295" s="50" t="n">
        <v>0</v>
      </c>
      <c r="E295" s="50" t="n">
        <v>0</v>
      </c>
      <c r="F295" s="50" t="n">
        <v>0</v>
      </c>
      <c r="G295" s="50" t="n">
        <v>0</v>
      </c>
      <c r="H295" s="50" t="n">
        <v>0</v>
      </c>
      <c r="I295" s="50" t="n">
        <v>0</v>
      </c>
      <c r="J295" s="50" t="n">
        <v>53</v>
      </c>
      <c r="K295" s="50" t="n">
        <v>66</v>
      </c>
      <c r="L295" s="50" t="n">
        <v>119</v>
      </c>
      <c r="M295" s="50" t="n">
        <v>53</v>
      </c>
      <c r="N295" s="50" t="n">
        <v>66</v>
      </c>
      <c r="O295" s="51" t="n">
        <v>119</v>
      </c>
      <c r="P295" s="52" t="n">
        <f aca="false">+(N295-M295)/O295</f>
        <v>0.109243697478992</v>
      </c>
    </row>
    <row r="296" customFormat="false" ht="18" hidden="false" customHeight="true" outlineLevel="0" collapsed="false">
      <c r="A296" s="151" t="s">
        <v>224</v>
      </c>
      <c r="B296" s="152" t="s">
        <v>226</v>
      </c>
      <c r="C296" s="58" t="s">
        <v>227</v>
      </c>
      <c r="D296" s="58" t="n">
        <v>0</v>
      </c>
      <c r="E296" s="58" t="n">
        <v>0</v>
      </c>
      <c r="F296" s="58" t="n">
        <v>0</v>
      </c>
      <c r="G296" s="58" t="n">
        <v>0</v>
      </c>
      <c r="H296" s="58" t="n">
        <v>0</v>
      </c>
      <c r="I296" s="58" t="n">
        <v>0</v>
      </c>
      <c r="J296" s="58" t="n">
        <v>77</v>
      </c>
      <c r="K296" s="58" t="n">
        <v>26</v>
      </c>
      <c r="L296" s="58" t="n">
        <v>103</v>
      </c>
      <c r="M296" s="58" t="n">
        <v>77</v>
      </c>
      <c r="N296" s="58" t="n">
        <v>26</v>
      </c>
      <c r="O296" s="59" t="n">
        <v>103</v>
      </c>
      <c r="P296" s="60" t="n">
        <f aca="false">+(N296-M296)/O296</f>
        <v>-0.495145631067961</v>
      </c>
      <c r="Q296" s="61" t="n">
        <v>1</v>
      </c>
    </row>
    <row r="297" customFormat="false" ht="18" hidden="false" customHeight="true" outlineLevel="0" collapsed="false">
      <c r="A297" s="149" t="s">
        <v>40</v>
      </c>
      <c r="B297" s="150" t="s">
        <v>228</v>
      </c>
      <c r="C297" s="50" t="s">
        <v>227</v>
      </c>
      <c r="D297" s="50" t="n">
        <v>0</v>
      </c>
      <c r="E297" s="50" t="n">
        <v>0</v>
      </c>
      <c r="F297" s="50" t="n">
        <v>0</v>
      </c>
      <c r="G297" s="50" t="n">
        <v>0</v>
      </c>
      <c r="H297" s="50" t="n">
        <v>0</v>
      </c>
      <c r="I297" s="50" t="n">
        <v>0</v>
      </c>
      <c r="J297" s="50" t="n">
        <v>76</v>
      </c>
      <c r="K297" s="50" t="n">
        <v>102</v>
      </c>
      <c r="L297" s="50" t="n">
        <v>178</v>
      </c>
      <c r="M297" s="50" t="n">
        <v>76</v>
      </c>
      <c r="N297" s="50" t="n">
        <v>102</v>
      </c>
      <c r="O297" s="51" t="n">
        <v>178</v>
      </c>
      <c r="P297" s="52" t="n">
        <f aca="false">+(N297-M297)/O297</f>
        <v>0.146067415730337</v>
      </c>
    </row>
    <row r="298" customFormat="false" ht="18" hidden="false" customHeight="true" outlineLevel="0" collapsed="false">
      <c r="A298" s="149" t="s">
        <v>40</v>
      </c>
      <c r="B298" s="150" t="s">
        <v>229</v>
      </c>
      <c r="C298" s="50" t="s">
        <v>227</v>
      </c>
      <c r="D298" s="50" t="n">
        <v>0</v>
      </c>
      <c r="E298" s="50" t="n">
        <v>0</v>
      </c>
      <c r="F298" s="50" t="n">
        <v>0</v>
      </c>
      <c r="G298" s="50" t="n">
        <v>0</v>
      </c>
      <c r="H298" s="50" t="n">
        <v>0</v>
      </c>
      <c r="I298" s="50" t="n">
        <v>0</v>
      </c>
      <c r="J298" s="50" t="n">
        <v>82</v>
      </c>
      <c r="K298" s="50" t="n">
        <v>107</v>
      </c>
      <c r="L298" s="50" t="n">
        <v>189</v>
      </c>
      <c r="M298" s="50" t="n">
        <v>82</v>
      </c>
      <c r="N298" s="50" t="n">
        <v>107</v>
      </c>
      <c r="O298" s="51" t="n">
        <v>189</v>
      </c>
      <c r="P298" s="52" t="n">
        <f aca="false">+(N298-M298)/O298</f>
        <v>0.132275132275132</v>
      </c>
    </row>
    <row r="299" customFormat="false" ht="18" hidden="false" customHeight="true" outlineLevel="0" collapsed="false">
      <c r="A299" s="149" t="s">
        <v>40</v>
      </c>
      <c r="B299" s="150" t="s">
        <v>230</v>
      </c>
      <c r="C299" s="50" t="s">
        <v>220</v>
      </c>
      <c r="D299" s="50" t="n">
        <v>0</v>
      </c>
      <c r="E299" s="50" t="n">
        <v>0</v>
      </c>
      <c r="F299" s="50" t="n">
        <v>0</v>
      </c>
      <c r="G299" s="50" t="n">
        <v>0</v>
      </c>
      <c r="H299" s="50" t="n">
        <v>0</v>
      </c>
      <c r="I299" s="50" t="n">
        <v>0</v>
      </c>
      <c r="J299" s="50" t="n">
        <v>223</v>
      </c>
      <c r="K299" s="50" t="n">
        <v>254</v>
      </c>
      <c r="L299" s="50" t="n">
        <v>477</v>
      </c>
      <c r="M299" s="50" t="n">
        <v>223</v>
      </c>
      <c r="N299" s="50" t="n">
        <v>254</v>
      </c>
      <c r="O299" s="51" t="n">
        <v>477</v>
      </c>
      <c r="P299" s="52" t="n">
        <f aca="false">+(N299-M299)/O299</f>
        <v>0.0649895178197065</v>
      </c>
    </row>
    <row r="300" customFormat="false" ht="18" hidden="false" customHeight="true" outlineLevel="0" collapsed="false">
      <c r="A300" s="53" t="s">
        <v>231</v>
      </c>
      <c r="B300" s="150" t="s">
        <v>230</v>
      </c>
      <c r="C300" s="50" t="s">
        <v>220</v>
      </c>
      <c r="D300" s="50" t="n">
        <v>0</v>
      </c>
      <c r="E300" s="50" t="n">
        <v>0</v>
      </c>
      <c r="F300" s="50" t="n">
        <v>0</v>
      </c>
      <c r="G300" s="50" t="n">
        <v>0</v>
      </c>
      <c r="H300" s="50" t="n">
        <v>0</v>
      </c>
      <c r="I300" s="50" t="n">
        <v>0</v>
      </c>
      <c r="J300" s="50" t="n">
        <v>59</v>
      </c>
      <c r="K300" s="50" t="n">
        <v>77</v>
      </c>
      <c r="L300" s="50" t="n">
        <v>136</v>
      </c>
      <c r="M300" s="50" t="n">
        <v>59</v>
      </c>
      <c r="N300" s="50" t="n">
        <v>77</v>
      </c>
      <c r="O300" s="51" t="n">
        <v>136</v>
      </c>
      <c r="P300" s="52" t="n">
        <f aca="false">+(N300-M300)/O300</f>
        <v>0.132352941176471</v>
      </c>
    </row>
    <row r="301" customFormat="false" ht="18" hidden="false" customHeight="true" outlineLevel="0" collapsed="false">
      <c r="A301" s="153" t="s">
        <v>40</v>
      </c>
      <c r="B301" s="154" t="s">
        <v>232</v>
      </c>
      <c r="C301" s="73" t="s">
        <v>220</v>
      </c>
      <c r="D301" s="50" t="n">
        <v>0</v>
      </c>
      <c r="E301" s="50" t="n">
        <v>0</v>
      </c>
      <c r="F301" s="50" t="n">
        <v>0</v>
      </c>
      <c r="G301" s="73" t="n">
        <v>0</v>
      </c>
      <c r="H301" s="73" t="n">
        <v>0</v>
      </c>
      <c r="I301" s="73" t="n">
        <v>0</v>
      </c>
      <c r="J301" s="73" t="n">
        <v>119</v>
      </c>
      <c r="K301" s="73" t="n">
        <v>152</v>
      </c>
      <c r="L301" s="73" t="n">
        <v>271</v>
      </c>
      <c r="M301" s="73" t="n">
        <v>119</v>
      </c>
      <c r="N301" s="73" t="n">
        <v>152</v>
      </c>
      <c r="O301" s="74" t="n">
        <v>271</v>
      </c>
      <c r="P301" s="52" t="n">
        <f aca="false">+(N301-M301)/O301</f>
        <v>0.121771217712177</v>
      </c>
    </row>
    <row r="302" customFormat="false" ht="15.75" hidden="false" customHeight="true" outlineLevel="0" collapsed="false">
      <c r="A302" s="109" t="s">
        <v>46</v>
      </c>
      <c r="B302" s="109"/>
      <c r="C302" s="109"/>
      <c r="D302" s="44" t="n">
        <f aca="false">SUM(D282:D301)</f>
        <v>0</v>
      </c>
      <c r="E302" s="44" t="n">
        <f aca="false">SUM(E282:E301)</f>
        <v>0</v>
      </c>
      <c r="F302" s="44" t="n">
        <f aca="false">SUM(F282:F301)</f>
        <v>0</v>
      </c>
      <c r="G302" s="44" t="n">
        <f aca="false">SUM(G282:G301)</f>
        <v>0</v>
      </c>
      <c r="H302" s="44" t="n">
        <f aca="false">SUM(H282:H301)</f>
        <v>0</v>
      </c>
      <c r="I302" s="44" t="n">
        <f aca="false">SUM(I282:I301)</f>
        <v>0</v>
      </c>
      <c r="J302" s="44" t="n">
        <f aca="false">SUM(J282:J301)</f>
        <v>2061</v>
      </c>
      <c r="K302" s="44" t="n">
        <f aca="false">SUM(K282:K301)</f>
        <v>2450</v>
      </c>
      <c r="L302" s="44" t="n">
        <f aca="false">SUM(L282:L301)</f>
        <v>4511</v>
      </c>
      <c r="M302" s="44" t="n">
        <f aca="false">SUM(M282:M301)</f>
        <v>2060</v>
      </c>
      <c r="N302" s="44" t="n">
        <f aca="false">SUM(N282:N301)</f>
        <v>2451</v>
      </c>
      <c r="O302" s="45" t="n">
        <f aca="false">SUM(O282:O301)</f>
        <v>4511</v>
      </c>
      <c r="P302" s="52"/>
    </row>
    <row r="303" customFormat="false" ht="15.75" hidden="false" customHeight="true" outlineLevel="0" collapsed="false">
      <c r="A303" s="67"/>
      <c r="B303" s="67"/>
      <c r="C303" s="67"/>
      <c r="D303" s="176"/>
      <c r="E303" s="122"/>
      <c r="F303" s="122"/>
      <c r="G303" s="2"/>
      <c r="H303" s="2"/>
      <c r="I303" s="2"/>
      <c r="J303" s="2"/>
      <c r="K303" s="2"/>
      <c r="L303" s="2"/>
      <c r="M303" s="2"/>
      <c r="N303" s="2"/>
      <c r="O303" s="2"/>
      <c r="P303" s="52"/>
    </row>
    <row r="304" customFormat="false" ht="15.75" hidden="false" customHeight="true" outlineLevel="0" collapsed="false">
      <c r="A304" s="68" t="s">
        <v>47</v>
      </c>
      <c r="B304" s="69"/>
      <c r="C304" s="69"/>
      <c r="D304" s="44" t="s">
        <v>23</v>
      </c>
      <c r="E304" s="44" t="s">
        <v>24</v>
      </c>
      <c r="F304" s="44" t="s">
        <v>25</v>
      </c>
      <c r="G304" s="44" t="s">
        <v>23</v>
      </c>
      <c r="H304" s="44" t="s">
        <v>24</v>
      </c>
      <c r="I304" s="44" t="s">
        <v>25</v>
      </c>
      <c r="J304" s="44" t="s">
        <v>23</v>
      </c>
      <c r="K304" s="44" t="s">
        <v>24</v>
      </c>
      <c r="L304" s="44" t="s">
        <v>25</v>
      </c>
      <c r="M304" s="44" t="s">
        <v>23</v>
      </c>
      <c r="N304" s="44" t="s">
        <v>24</v>
      </c>
      <c r="O304" s="45" t="s">
        <v>25</v>
      </c>
      <c r="P304" s="52"/>
    </row>
    <row r="305" customFormat="false" ht="15.75" hidden="false" customHeight="true" outlineLevel="0" collapsed="false">
      <c r="A305" s="92" t="s">
        <v>69</v>
      </c>
      <c r="B305" s="49"/>
      <c r="C305" s="49"/>
      <c r="D305" s="93"/>
      <c r="E305" s="49"/>
      <c r="F305" s="49"/>
      <c r="G305" s="49"/>
      <c r="H305" s="49"/>
      <c r="I305" s="93"/>
      <c r="J305" s="93"/>
      <c r="K305" s="93"/>
      <c r="L305" s="93"/>
      <c r="M305" s="93"/>
      <c r="N305" s="93"/>
      <c r="O305" s="94"/>
      <c r="P305" s="52"/>
    </row>
    <row r="306" customFormat="false" ht="15.75" hidden="false" customHeight="true" outlineLevel="0" collapsed="false">
      <c r="A306" s="95" t="s">
        <v>70</v>
      </c>
      <c r="B306" s="96"/>
      <c r="C306" s="96"/>
      <c r="D306" s="50"/>
      <c r="E306" s="123"/>
      <c r="F306" s="123"/>
      <c r="G306" s="123"/>
      <c r="H306" s="123"/>
      <c r="I306" s="50"/>
      <c r="J306" s="50"/>
      <c r="K306" s="50"/>
      <c r="L306" s="50"/>
      <c r="M306" s="50"/>
      <c r="N306" s="50"/>
      <c r="O306" s="51"/>
      <c r="P306" s="52"/>
    </row>
    <row r="307" customFormat="false" ht="15.75" hidden="false" customHeight="true" outlineLevel="0" collapsed="false">
      <c r="A307" s="97" t="s">
        <v>71</v>
      </c>
      <c r="B307" s="98"/>
      <c r="C307" s="98"/>
      <c r="D307" s="124"/>
      <c r="E307" s="125"/>
      <c r="F307" s="125"/>
      <c r="G307" s="125"/>
      <c r="H307" s="125"/>
      <c r="I307" s="124"/>
      <c r="J307" s="124"/>
      <c r="K307" s="124"/>
      <c r="L307" s="124"/>
      <c r="M307" s="124"/>
      <c r="N307" s="124"/>
      <c r="O307" s="126"/>
      <c r="P307" s="52"/>
    </row>
    <row r="308" customFormat="false" ht="15.75" hidden="false" customHeight="true" outlineLevel="0" collapsed="false">
      <c r="A308" s="109" t="s">
        <v>46</v>
      </c>
      <c r="B308" s="109"/>
      <c r="C308" s="109"/>
      <c r="D308" s="44" t="n">
        <v>0</v>
      </c>
      <c r="E308" s="44" t="n">
        <v>0</v>
      </c>
      <c r="F308" s="44" t="n">
        <v>0</v>
      </c>
      <c r="G308" s="44" t="n">
        <v>0</v>
      </c>
      <c r="H308" s="44" t="n">
        <v>0</v>
      </c>
      <c r="I308" s="44" t="n">
        <v>0</v>
      </c>
      <c r="J308" s="44" t="n">
        <v>0</v>
      </c>
      <c r="K308" s="44" t="n">
        <v>0</v>
      </c>
      <c r="L308" s="44" t="n">
        <v>0</v>
      </c>
      <c r="M308" s="44" t="n">
        <v>0</v>
      </c>
      <c r="N308" s="44" t="n">
        <v>0</v>
      </c>
      <c r="O308" s="45" t="n">
        <v>0</v>
      </c>
      <c r="P308" s="52"/>
    </row>
    <row r="309" customFormat="false" ht="15.75" hidden="false" customHeight="true" outlineLevel="0" collapsed="false">
      <c r="A309" s="75"/>
      <c r="B309" s="76"/>
      <c r="C309" s="76"/>
      <c r="D309" s="2"/>
      <c r="E309" s="77"/>
      <c r="F309" s="77"/>
      <c r="G309" s="77"/>
      <c r="H309" s="77"/>
      <c r="I309" s="2"/>
      <c r="J309" s="2"/>
      <c r="K309" s="2"/>
      <c r="L309" s="2"/>
      <c r="M309" s="2"/>
      <c r="N309" s="2"/>
      <c r="O309" s="2"/>
      <c r="P309" s="52"/>
    </row>
    <row r="310" customFormat="false" ht="15.75" hidden="false" customHeight="true" outlineLevel="0" collapsed="false">
      <c r="A310" s="78" t="s">
        <v>48</v>
      </c>
      <c r="B310" s="69"/>
      <c r="C310" s="69"/>
      <c r="D310" s="44" t="s">
        <v>23</v>
      </c>
      <c r="E310" s="44" t="s">
        <v>24</v>
      </c>
      <c r="F310" s="44" t="s">
        <v>25</v>
      </c>
      <c r="G310" s="44" t="s">
        <v>23</v>
      </c>
      <c r="H310" s="44" t="s">
        <v>24</v>
      </c>
      <c r="I310" s="44" t="s">
        <v>25</v>
      </c>
      <c r="J310" s="44" t="s">
        <v>23</v>
      </c>
      <c r="K310" s="44" t="s">
        <v>24</v>
      </c>
      <c r="L310" s="44" t="s">
        <v>25</v>
      </c>
      <c r="M310" s="44" t="s">
        <v>23</v>
      </c>
      <c r="N310" s="44" t="s">
        <v>24</v>
      </c>
      <c r="O310" s="45" t="s">
        <v>25</v>
      </c>
      <c r="P310" s="52"/>
    </row>
    <row r="311" customFormat="false" ht="15.75" hidden="false" customHeight="true" outlineLevel="0" collapsed="false">
      <c r="A311" s="177" t="s">
        <v>233</v>
      </c>
      <c r="B311" s="178" t="s">
        <v>234</v>
      </c>
      <c r="C311" s="103" t="s">
        <v>212</v>
      </c>
      <c r="D311" s="58" t="n">
        <v>0</v>
      </c>
      <c r="E311" s="58" t="n">
        <v>0</v>
      </c>
      <c r="F311" s="58" t="n">
        <v>0</v>
      </c>
      <c r="G311" s="58" t="n">
        <v>0</v>
      </c>
      <c r="H311" s="58" t="n">
        <v>0</v>
      </c>
      <c r="I311" s="58" t="n">
        <v>0</v>
      </c>
      <c r="J311" s="103" t="n">
        <v>63</v>
      </c>
      <c r="K311" s="103" t="n">
        <v>58</v>
      </c>
      <c r="L311" s="103" t="n">
        <v>121</v>
      </c>
      <c r="M311" s="58" t="n">
        <v>63</v>
      </c>
      <c r="N311" s="58" t="n">
        <v>58</v>
      </c>
      <c r="O311" s="59" t="n">
        <v>121</v>
      </c>
      <c r="P311" s="52" t="n">
        <f aca="false">+(N311-M311)/O311</f>
        <v>-0.0413223140495868</v>
      </c>
      <c r="Q311" s="2" t="n">
        <v>0</v>
      </c>
    </row>
    <row r="312" customFormat="false" ht="15.75" hidden="false" customHeight="true" outlineLevel="0" collapsed="false">
      <c r="A312" s="151" t="s">
        <v>235</v>
      </c>
      <c r="B312" s="178" t="s">
        <v>234</v>
      </c>
      <c r="C312" s="103" t="s">
        <v>212</v>
      </c>
      <c r="D312" s="58" t="n">
        <v>0</v>
      </c>
      <c r="E312" s="58" t="n">
        <v>0</v>
      </c>
      <c r="F312" s="58" t="n">
        <v>0</v>
      </c>
      <c r="G312" s="58" t="n">
        <v>0</v>
      </c>
      <c r="H312" s="58" t="n">
        <v>0</v>
      </c>
      <c r="I312" s="58" t="n">
        <v>0</v>
      </c>
      <c r="J312" s="58" t="n">
        <v>145</v>
      </c>
      <c r="K312" s="58" t="n">
        <v>126</v>
      </c>
      <c r="L312" s="103" t="n">
        <v>271</v>
      </c>
      <c r="M312" s="58" t="n">
        <v>145</v>
      </c>
      <c r="N312" s="58" t="n">
        <v>126</v>
      </c>
      <c r="O312" s="59" t="n">
        <v>271</v>
      </c>
      <c r="P312" s="52" t="n">
        <f aca="false">+(N312-M312)/O312</f>
        <v>-0.0701107011070111</v>
      </c>
      <c r="Q312" s="2" t="n">
        <v>0</v>
      </c>
    </row>
    <row r="313" customFormat="false" ht="15.75" hidden="false" customHeight="true" outlineLevel="0" collapsed="false">
      <c r="A313" s="149" t="s">
        <v>236</v>
      </c>
      <c r="B313" s="179" t="s">
        <v>234</v>
      </c>
      <c r="C313" s="93" t="s">
        <v>212</v>
      </c>
      <c r="D313" s="50" t="n">
        <v>0</v>
      </c>
      <c r="E313" s="50" t="n">
        <v>0</v>
      </c>
      <c r="F313" s="50" t="n">
        <v>0</v>
      </c>
      <c r="G313" s="50" t="n">
        <v>0</v>
      </c>
      <c r="H313" s="50" t="n">
        <v>0</v>
      </c>
      <c r="I313" s="50" t="n">
        <v>0</v>
      </c>
      <c r="J313" s="50" t="n">
        <v>147</v>
      </c>
      <c r="K313" s="50" t="n">
        <v>263</v>
      </c>
      <c r="L313" s="93" t="n">
        <v>410</v>
      </c>
      <c r="M313" s="50" t="n">
        <v>147</v>
      </c>
      <c r="N313" s="50" t="n">
        <v>263</v>
      </c>
      <c r="O313" s="51" t="n">
        <v>410</v>
      </c>
      <c r="P313" s="52" t="n">
        <f aca="false">+(N313-M313)/O313</f>
        <v>0.282926829268293</v>
      </c>
    </row>
    <row r="314" customFormat="false" ht="15.75" hidden="false" customHeight="true" outlineLevel="0" collapsed="false">
      <c r="A314" s="149" t="s">
        <v>237</v>
      </c>
      <c r="B314" s="180" t="s">
        <v>238</v>
      </c>
      <c r="C314" s="93" t="s">
        <v>212</v>
      </c>
      <c r="D314" s="50" t="n">
        <v>0</v>
      </c>
      <c r="E314" s="50" t="n">
        <v>0</v>
      </c>
      <c r="F314" s="50" t="n">
        <v>0</v>
      </c>
      <c r="G314" s="50" t="n">
        <v>0</v>
      </c>
      <c r="H314" s="50" t="n">
        <v>0</v>
      </c>
      <c r="I314" s="50" t="n">
        <v>0</v>
      </c>
      <c r="J314" s="50" t="n">
        <v>46</v>
      </c>
      <c r="K314" s="50" t="n">
        <v>249</v>
      </c>
      <c r="L314" s="93" t="n">
        <v>295</v>
      </c>
      <c r="M314" s="50" t="n">
        <v>46</v>
      </c>
      <c r="N314" s="50" t="n">
        <v>249</v>
      </c>
      <c r="O314" s="51" t="n">
        <v>295</v>
      </c>
      <c r="P314" s="52" t="n">
        <f aca="false">+(N314-M314)/O314</f>
        <v>0.688135593220339</v>
      </c>
    </row>
    <row r="315" customFormat="false" ht="15.75" hidden="false" customHeight="true" outlineLevel="0" collapsed="false">
      <c r="A315" s="149" t="s">
        <v>239</v>
      </c>
      <c r="B315" s="180" t="s">
        <v>240</v>
      </c>
      <c r="C315" s="93" t="s">
        <v>212</v>
      </c>
      <c r="D315" s="50" t="n">
        <v>0</v>
      </c>
      <c r="E315" s="50" t="n">
        <v>0</v>
      </c>
      <c r="F315" s="50" t="n">
        <v>0</v>
      </c>
      <c r="G315" s="50" t="n">
        <v>0</v>
      </c>
      <c r="H315" s="50" t="n">
        <v>0</v>
      </c>
      <c r="I315" s="50" t="n">
        <v>0</v>
      </c>
      <c r="J315" s="50" t="n">
        <v>49</v>
      </c>
      <c r="K315" s="50" t="n">
        <v>194</v>
      </c>
      <c r="L315" s="93" t="n">
        <v>243</v>
      </c>
      <c r="M315" s="50" t="n">
        <v>49</v>
      </c>
      <c r="N315" s="50" t="n">
        <v>194</v>
      </c>
      <c r="O315" s="51" t="n">
        <v>243</v>
      </c>
      <c r="P315" s="52" t="n">
        <f aca="false">+(N315-M315)/O315</f>
        <v>0.596707818930041</v>
      </c>
    </row>
    <row r="316" customFormat="false" ht="15.75" hidden="false" customHeight="true" outlineLevel="0" collapsed="false">
      <c r="A316" s="151" t="s">
        <v>241</v>
      </c>
      <c r="B316" s="181" t="s">
        <v>242</v>
      </c>
      <c r="C316" s="103" t="s">
        <v>212</v>
      </c>
      <c r="D316" s="58" t="n">
        <v>0</v>
      </c>
      <c r="E316" s="58" t="n">
        <v>0</v>
      </c>
      <c r="F316" s="58" t="n">
        <v>0</v>
      </c>
      <c r="G316" s="58" t="n">
        <v>0</v>
      </c>
      <c r="H316" s="58" t="n">
        <v>0</v>
      </c>
      <c r="I316" s="58" t="n">
        <v>0</v>
      </c>
      <c r="J316" s="58" t="n">
        <v>16</v>
      </c>
      <c r="K316" s="58" t="n">
        <v>11</v>
      </c>
      <c r="L316" s="103" t="n">
        <v>27</v>
      </c>
      <c r="M316" s="58" t="n">
        <v>16</v>
      </c>
      <c r="N316" s="58" t="n">
        <v>11</v>
      </c>
      <c r="O316" s="59" t="n">
        <v>27</v>
      </c>
      <c r="P316" s="52" t="n">
        <f aca="false">+(N316-M316)/O316</f>
        <v>-0.185185185185185</v>
      </c>
      <c r="Q316" s="2" t="n">
        <v>0</v>
      </c>
    </row>
    <row r="317" customFormat="false" ht="15.75" hidden="false" customHeight="true" outlineLevel="0" collapsed="false">
      <c r="A317" s="153" t="s">
        <v>64</v>
      </c>
      <c r="B317" s="182" t="s">
        <v>243</v>
      </c>
      <c r="C317" s="122" t="s">
        <v>212</v>
      </c>
      <c r="D317" s="50" t="n">
        <v>0</v>
      </c>
      <c r="E317" s="50" t="n">
        <v>0</v>
      </c>
      <c r="F317" s="50" t="n">
        <v>0</v>
      </c>
      <c r="G317" s="73" t="n">
        <v>0</v>
      </c>
      <c r="H317" s="73" t="n">
        <v>0</v>
      </c>
      <c r="I317" s="50" t="n">
        <v>0</v>
      </c>
      <c r="J317" s="73" t="n">
        <v>63</v>
      </c>
      <c r="K317" s="73" t="n">
        <v>189</v>
      </c>
      <c r="L317" s="93" t="n">
        <v>252</v>
      </c>
      <c r="M317" s="50" t="n">
        <v>63</v>
      </c>
      <c r="N317" s="50" t="n">
        <v>189</v>
      </c>
      <c r="O317" s="51" t="n">
        <v>252</v>
      </c>
      <c r="P317" s="52" t="n">
        <f aca="false">+(N317-M317)/O317</f>
        <v>0.5</v>
      </c>
    </row>
    <row r="318" customFormat="false" ht="15.75" hidden="false" customHeight="true" outlineLevel="0" collapsed="false">
      <c r="A318" s="109" t="s">
        <v>46</v>
      </c>
      <c r="B318" s="109"/>
      <c r="C318" s="109"/>
      <c r="D318" s="44" t="n">
        <f aca="false">SUM(D311:D317)</f>
        <v>0</v>
      </c>
      <c r="E318" s="44" t="n">
        <f aca="false">SUM(E311:E317)</f>
        <v>0</v>
      </c>
      <c r="F318" s="44" t="n">
        <f aca="false">SUM(F311:F317)</f>
        <v>0</v>
      </c>
      <c r="G318" s="44" t="n">
        <f aca="false">SUM(G311:G317)</f>
        <v>0</v>
      </c>
      <c r="H318" s="44" t="n">
        <f aca="false">SUM(H311:H317)</f>
        <v>0</v>
      </c>
      <c r="I318" s="44" t="n">
        <f aca="false">SUM(I311:I317)</f>
        <v>0</v>
      </c>
      <c r="J318" s="44" t="n">
        <f aca="false">SUM(J311:J317)</f>
        <v>529</v>
      </c>
      <c r="K318" s="44" t="n">
        <f aca="false">SUM(K311:K317)</f>
        <v>1090</v>
      </c>
      <c r="L318" s="44" t="n">
        <f aca="false">SUM(L311:L317)</f>
        <v>1619</v>
      </c>
      <c r="M318" s="44" t="n">
        <f aca="false">SUM(M311:M317)</f>
        <v>529</v>
      </c>
      <c r="N318" s="44" t="n">
        <f aca="false">SUM(N311:N317)</f>
        <v>1090</v>
      </c>
      <c r="O318" s="45" t="n">
        <f aca="false">SUM(O311:O317)</f>
        <v>1619</v>
      </c>
      <c r="P318" s="52"/>
    </row>
    <row r="319" customFormat="false" ht="15.75" hidden="false" customHeight="true" outlineLevel="0" collapsed="false">
      <c r="A319" s="75"/>
      <c r="B319" s="76"/>
      <c r="C319" s="4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52"/>
    </row>
    <row r="320" customFormat="false" ht="15.75" hidden="false" customHeight="true" outlineLevel="0" collapsed="false">
      <c r="A320" s="78" t="s">
        <v>68</v>
      </c>
      <c r="B320" s="89"/>
      <c r="C320" s="89"/>
      <c r="D320" s="44" t="s">
        <v>23</v>
      </c>
      <c r="E320" s="44" t="s">
        <v>24</v>
      </c>
      <c r="F320" s="44" t="s">
        <v>25</v>
      </c>
      <c r="G320" s="44" t="s">
        <v>23</v>
      </c>
      <c r="H320" s="44" t="s">
        <v>24</v>
      </c>
      <c r="I320" s="44" t="s">
        <v>25</v>
      </c>
      <c r="J320" s="44" t="s">
        <v>23</v>
      </c>
      <c r="K320" s="44" t="s">
        <v>24</v>
      </c>
      <c r="L320" s="44" t="s">
        <v>25</v>
      </c>
      <c r="M320" s="44" t="s">
        <v>23</v>
      </c>
      <c r="N320" s="44" t="s">
        <v>24</v>
      </c>
      <c r="O320" s="45" t="s">
        <v>25</v>
      </c>
      <c r="P320" s="52"/>
    </row>
    <row r="321" customFormat="false" ht="20.25" hidden="false" customHeight="true" outlineLevel="0" collapsed="false">
      <c r="A321" s="183" t="s">
        <v>69</v>
      </c>
      <c r="B321" s="184"/>
      <c r="C321" s="185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7"/>
      <c r="P321" s="52"/>
    </row>
    <row r="322" customFormat="false" ht="15.75" hidden="false" customHeight="true" outlineLevel="0" collapsed="false">
      <c r="A322" s="95" t="s">
        <v>70</v>
      </c>
      <c r="B322" s="188"/>
      <c r="C322" s="188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90"/>
      <c r="P322" s="52"/>
    </row>
    <row r="323" customFormat="false" ht="15.75" hidden="false" customHeight="true" outlineLevel="0" collapsed="false">
      <c r="A323" s="191" t="s">
        <v>71</v>
      </c>
      <c r="B323" s="192"/>
      <c r="C323" s="193"/>
      <c r="D323" s="93"/>
      <c r="E323" s="93"/>
      <c r="F323" s="93"/>
      <c r="G323" s="194"/>
      <c r="H323" s="122"/>
      <c r="I323" s="122"/>
      <c r="J323" s="122"/>
      <c r="K323" s="122"/>
      <c r="L323" s="122"/>
      <c r="M323" s="93"/>
      <c r="N323" s="93"/>
      <c r="O323" s="51"/>
      <c r="P323" s="52"/>
    </row>
    <row r="324" customFormat="false" ht="15.75" hidden="false" customHeight="true" outlineLevel="0" collapsed="false">
      <c r="A324" s="109" t="s">
        <v>46</v>
      </c>
      <c r="B324" s="109"/>
      <c r="C324" s="109"/>
      <c r="D324" s="44" t="n">
        <f aca="false">D323</f>
        <v>0</v>
      </c>
      <c r="E324" s="44" t="n">
        <f aca="false">E323</f>
        <v>0</v>
      </c>
      <c r="F324" s="44" t="n">
        <f aca="false">F323</f>
        <v>0</v>
      </c>
      <c r="G324" s="44" t="n">
        <f aca="false">G323</f>
        <v>0</v>
      </c>
      <c r="H324" s="44" t="n">
        <f aca="false">H323</f>
        <v>0</v>
      </c>
      <c r="I324" s="44" t="n">
        <f aca="false">I323</f>
        <v>0</v>
      </c>
      <c r="J324" s="44" t="n">
        <f aca="false">J323</f>
        <v>0</v>
      </c>
      <c r="K324" s="44" t="n">
        <f aca="false">K323</f>
        <v>0</v>
      </c>
      <c r="L324" s="44" t="n">
        <f aca="false">L323</f>
        <v>0</v>
      </c>
      <c r="M324" s="44" t="n">
        <f aca="false">M323</f>
        <v>0</v>
      </c>
      <c r="N324" s="44" t="n">
        <f aca="false">N323</f>
        <v>0</v>
      </c>
      <c r="O324" s="45" t="n">
        <f aca="false">O323</f>
        <v>0</v>
      </c>
      <c r="P324" s="52"/>
    </row>
    <row r="325" customFormat="false" ht="15.75" hidden="false" customHeight="true" outlineLevel="0" collapsed="false">
      <c r="A325" s="67"/>
      <c r="B325" s="76"/>
      <c r="C325" s="76"/>
      <c r="D325" s="2"/>
      <c r="E325" s="2"/>
      <c r="F325" s="2"/>
      <c r="G325" s="2"/>
      <c r="H325" s="2"/>
      <c r="I325" s="76"/>
      <c r="J325" s="2"/>
      <c r="K325" s="2"/>
      <c r="L325" s="2"/>
      <c r="M325" s="2"/>
      <c r="N325" s="2"/>
      <c r="O325" s="2"/>
      <c r="P325" s="52"/>
    </row>
    <row r="326" customFormat="false" ht="15.75" hidden="false" customHeight="true" outlineLevel="0" collapsed="false">
      <c r="A326" s="78" t="s">
        <v>72</v>
      </c>
      <c r="B326" s="69"/>
      <c r="C326" s="69"/>
      <c r="D326" s="44" t="s">
        <v>23</v>
      </c>
      <c r="E326" s="44" t="s">
        <v>24</v>
      </c>
      <c r="F326" s="44" t="s">
        <v>25</v>
      </c>
      <c r="G326" s="44" t="s">
        <v>23</v>
      </c>
      <c r="H326" s="44" t="s">
        <v>24</v>
      </c>
      <c r="I326" s="44" t="s">
        <v>25</v>
      </c>
      <c r="J326" s="44" t="s">
        <v>23</v>
      </c>
      <c r="K326" s="44" t="s">
        <v>24</v>
      </c>
      <c r="L326" s="44" t="s">
        <v>25</v>
      </c>
      <c r="M326" s="44" t="s">
        <v>23</v>
      </c>
      <c r="N326" s="44" t="s">
        <v>24</v>
      </c>
      <c r="O326" s="45" t="s">
        <v>25</v>
      </c>
      <c r="P326" s="52"/>
    </row>
    <row r="327" customFormat="false" ht="15.75" hidden="false" customHeight="true" outlineLevel="0" collapsed="false">
      <c r="A327" s="195" t="s">
        <v>244</v>
      </c>
      <c r="B327" s="178" t="s">
        <v>234</v>
      </c>
      <c r="C327" s="103" t="s">
        <v>212</v>
      </c>
      <c r="D327" s="58" t="n">
        <v>0</v>
      </c>
      <c r="E327" s="58" t="n">
        <v>0</v>
      </c>
      <c r="F327" s="165" t="n">
        <v>0</v>
      </c>
      <c r="G327" s="165" t="n">
        <v>0</v>
      </c>
      <c r="H327" s="165" t="n">
        <v>0</v>
      </c>
      <c r="I327" s="165" t="n">
        <v>0</v>
      </c>
      <c r="J327" s="165" t="n">
        <v>8</v>
      </c>
      <c r="K327" s="165" t="n">
        <v>5</v>
      </c>
      <c r="L327" s="165" t="n">
        <v>13</v>
      </c>
      <c r="M327" s="165" t="n">
        <v>8</v>
      </c>
      <c r="N327" s="165" t="n">
        <v>5</v>
      </c>
      <c r="O327" s="196" t="n">
        <v>13</v>
      </c>
      <c r="P327" s="52" t="n">
        <f aca="false">+(N327-M327)/O327</f>
        <v>-0.230769230769231</v>
      </c>
      <c r="Q327" s="2" t="n">
        <v>0</v>
      </c>
    </row>
    <row r="328" customFormat="false" ht="15.75" hidden="false" customHeight="true" outlineLevel="0" collapsed="false">
      <c r="A328" s="104" t="s">
        <v>245</v>
      </c>
      <c r="B328" s="180" t="s">
        <v>238</v>
      </c>
      <c r="C328" s="50" t="s">
        <v>212</v>
      </c>
      <c r="D328" s="50" t="n">
        <v>0</v>
      </c>
      <c r="E328" s="50" t="n">
        <v>0</v>
      </c>
      <c r="F328" s="93" t="n">
        <v>0</v>
      </c>
      <c r="G328" s="50" t="n">
        <v>0</v>
      </c>
      <c r="H328" s="50" t="n">
        <v>0</v>
      </c>
      <c r="I328" s="50" t="n">
        <v>0</v>
      </c>
      <c r="J328" s="50" t="n">
        <v>4</v>
      </c>
      <c r="K328" s="50" t="n">
        <v>10</v>
      </c>
      <c r="L328" s="50" t="n">
        <v>14</v>
      </c>
      <c r="M328" s="50" t="n">
        <v>4</v>
      </c>
      <c r="N328" s="50" t="n">
        <v>10</v>
      </c>
      <c r="O328" s="51" t="n">
        <v>14</v>
      </c>
      <c r="P328" s="52" t="n">
        <f aca="false">+(N328-M328)/O328</f>
        <v>0.428571428571429</v>
      </c>
    </row>
    <row r="329" customFormat="false" ht="15.75" hidden="false" customHeight="true" outlineLevel="0" collapsed="false">
      <c r="A329" s="109" t="s">
        <v>46</v>
      </c>
      <c r="B329" s="109"/>
      <c r="C329" s="109"/>
      <c r="D329" s="44" t="n">
        <f aca="false">SUM(D327:D328)</f>
        <v>0</v>
      </c>
      <c r="E329" s="44" t="n">
        <f aca="false">SUM(E327:E328)</f>
        <v>0</v>
      </c>
      <c r="F329" s="44" t="n">
        <f aca="false">SUM(F327:F328)</f>
        <v>0</v>
      </c>
      <c r="G329" s="44" t="n">
        <f aca="false">SUM(G327:G328)</f>
        <v>0</v>
      </c>
      <c r="H329" s="44" t="n">
        <f aca="false">SUM(H327:H328)</f>
        <v>0</v>
      </c>
      <c r="I329" s="44" t="n">
        <f aca="false">SUM(I327:I328)</f>
        <v>0</v>
      </c>
      <c r="J329" s="44" t="n">
        <f aca="false">SUM(J327:J328)</f>
        <v>12</v>
      </c>
      <c r="K329" s="44" t="n">
        <f aca="false">SUM(K327:K328)</f>
        <v>15</v>
      </c>
      <c r="L329" s="44" t="n">
        <f aca="false">SUM(L327:L328)</f>
        <v>27</v>
      </c>
      <c r="M329" s="44" t="n">
        <f aca="false">SUM(M327:M328)</f>
        <v>12</v>
      </c>
      <c r="N329" s="44" t="n">
        <f aca="false">SUM(N327:N328)</f>
        <v>15</v>
      </c>
      <c r="O329" s="45" t="n">
        <f aca="false">SUM(O327:O328)</f>
        <v>27</v>
      </c>
      <c r="P329" s="52"/>
    </row>
    <row r="330" customFormat="false" ht="15.75" hidden="false" customHeight="true" outlineLevel="0" collapsed="false">
      <c r="A330" s="67"/>
      <c r="B330" s="76"/>
      <c r="C330" s="7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52"/>
    </row>
    <row r="331" customFormat="false" ht="15.75" hidden="false" customHeight="true" outlineLevel="0" collapsed="false">
      <c r="A331" s="78" t="s">
        <v>76</v>
      </c>
      <c r="B331" s="69"/>
      <c r="C331" s="69"/>
      <c r="D331" s="44" t="s">
        <v>23</v>
      </c>
      <c r="E331" s="44" t="s">
        <v>24</v>
      </c>
      <c r="F331" s="44" t="s">
        <v>25</v>
      </c>
      <c r="G331" s="44" t="s">
        <v>23</v>
      </c>
      <c r="H331" s="44" t="s">
        <v>24</v>
      </c>
      <c r="I331" s="44" t="s">
        <v>25</v>
      </c>
      <c r="J331" s="44" t="s">
        <v>23</v>
      </c>
      <c r="K331" s="44" t="s">
        <v>24</v>
      </c>
      <c r="L331" s="44" t="s">
        <v>25</v>
      </c>
      <c r="M331" s="44" t="s">
        <v>23</v>
      </c>
      <c r="N331" s="44" t="s">
        <v>24</v>
      </c>
      <c r="O331" s="45" t="s">
        <v>25</v>
      </c>
      <c r="P331" s="52"/>
    </row>
    <row r="332" customFormat="false" ht="15.75" hidden="false" customHeight="true" outlineLevel="0" collapsed="false">
      <c r="A332" s="197" t="s">
        <v>246</v>
      </c>
      <c r="B332" s="198" t="s">
        <v>234</v>
      </c>
      <c r="C332" s="199" t="s">
        <v>212</v>
      </c>
      <c r="D332" s="200" t="n">
        <v>5</v>
      </c>
      <c r="E332" s="200" t="n">
        <v>0</v>
      </c>
      <c r="F332" s="200" t="n">
        <v>5</v>
      </c>
      <c r="G332" s="200" t="n">
        <v>5</v>
      </c>
      <c r="H332" s="200" t="n">
        <v>0</v>
      </c>
      <c r="I332" s="200" t="n">
        <v>5</v>
      </c>
      <c r="J332" s="200" t="n">
        <v>0</v>
      </c>
      <c r="K332" s="200" t="n">
        <v>0</v>
      </c>
      <c r="L332" s="200" t="n">
        <v>0</v>
      </c>
      <c r="M332" s="200" t="n">
        <v>5</v>
      </c>
      <c r="N332" s="200" t="n">
        <v>0</v>
      </c>
      <c r="O332" s="201" t="n">
        <v>5</v>
      </c>
      <c r="P332" s="52" t="n">
        <f aca="false">+(N332-M332)/O332</f>
        <v>-1</v>
      </c>
      <c r="Q332" s="2" t="n">
        <v>0</v>
      </c>
    </row>
    <row r="333" customFormat="false" ht="15.75" hidden="false" customHeight="true" outlineLevel="0" collapsed="false">
      <c r="A333" s="202" t="s">
        <v>46</v>
      </c>
      <c r="B333" s="202"/>
      <c r="C333" s="202"/>
      <c r="D333" s="203" t="n">
        <f aca="false">SUM(D332)</f>
        <v>5</v>
      </c>
      <c r="E333" s="203" t="n">
        <f aca="false">SUM(E332)</f>
        <v>0</v>
      </c>
      <c r="F333" s="203" t="n">
        <f aca="false">SUM(F332)</f>
        <v>5</v>
      </c>
      <c r="G333" s="203" t="n">
        <f aca="false">SUM(G332)</f>
        <v>5</v>
      </c>
      <c r="H333" s="203" t="n">
        <f aca="false">SUM(H332)</f>
        <v>0</v>
      </c>
      <c r="I333" s="203" t="n">
        <f aca="false">SUM(I332)</f>
        <v>5</v>
      </c>
      <c r="J333" s="203" t="n">
        <f aca="false">SUM(J332)</f>
        <v>0</v>
      </c>
      <c r="K333" s="203" t="n">
        <f aca="false">SUM(K332)</f>
        <v>0</v>
      </c>
      <c r="L333" s="203" t="n">
        <f aca="false">SUM(L332)</f>
        <v>0</v>
      </c>
      <c r="M333" s="203" t="n">
        <f aca="false">SUM(M332)</f>
        <v>5</v>
      </c>
      <c r="N333" s="203" t="n">
        <f aca="false">SUM(N332)</f>
        <v>0</v>
      </c>
      <c r="O333" s="204" t="n">
        <f aca="false">SUM(O332)</f>
        <v>5</v>
      </c>
      <c r="P333" s="52"/>
    </row>
    <row r="334" customFormat="false" ht="15.75" hidden="false" customHeight="true" outlineLevel="0" collapsed="false">
      <c r="A334" s="111" t="s">
        <v>77</v>
      </c>
      <c r="B334" s="111"/>
      <c r="C334" s="111"/>
      <c r="D334" s="44" t="n">
        <f aca="false">SUM(D302+D318+D324+D329+D333)</f>
        <v>5</v>
      </c>
      <c r="E334" s="44" t="n">
        <f aca="false">SUM(E302+E318+E324+E329+E333)</f>
        <v>0</v>
      </c>
      <c r="F334" s="44" t="n">
        <f aca="false">SUM(F302+F318+F324+F329+F333)</f>
        <v>5</v>
      </c>
      <c r="G334" s="44" t="n">
        <f aca="false">SUM(G302+G318+G324+G329+G333)</f>
        <v>5</v>
      </c>
      <c r="H334" s="44" t="n">
        <f aca="false">SUM(H302+H318+H324+H329+H333)</f>
        <v>0</v>
      </c>
      <c r="I334" s="44" t="n">
        <f aca="false">SUM(I302+I318+I324+I329+I333)</f>
        <v>5</v>
      </c>
      <c r="J334" s="44" t="n">
        <f aca="false">SUM(J302+J318+J324+J329+J333)</f>
        <v>2602</v>
      </c>
      <c r="K334" s="44" t="n">
        <f aca="false">SUM(K302+K318+K324+K329+K333)</f>
        <v>3555</v>
      </c>
      <c r="L334" s="44" t="n">
        <f aca="false">SUM(L302+L318+L324+L329+L333)</f>
        <v>6157</v>
      </c>
      <c r="M334" s="44" t="n">
        <f aca="false">SUM(M302+M318+M324+M329+M333)</f>
        <v>2606</v>
      </c>
      <c r="N334" s="44" t="n">
        <f aca="false">SUM(N302+N318+N324+N329+N333)</f>
        <v>3556</v>
      </c>
      <c r="O334" s="45" t="n">
        <f aca="false">SUM(O302+O318+O324+O329+O333)</f>
        <v>6162</v>
      </c>
      <c r="P334" s="52"/>
      <c r="Q334" s="5"/>
    </row>
    <row r="335" customFormat="false" ht="15.75" hidden="false" customHeight="true" outlineLevel="0" collapsed="false">
      <c r="A335" s="67"/>
      <c r="B335" s="67"/>
      <c r="C335" s="67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52"/>
    </row>
    <row r="336" customFormat="false" ht="15.75" hidden="false" customHeight="true" outlineLevel="0" collapsed="false">
      <c r="A336" s="206" t="s">
        <v>247</v>
      </c>
      <c r="B336" s="206"/>
      <c r="C336" s="206"/>
      <c r="D336" s="207" t="n">
        <f aca="false">SUM(D79+D135+D227+D274+D334)</f>
        <v>26</v>
      </c>
      <c r="E336" s="207" t="n">
        <f aca="false">SUM(E79+E135+E227+E274+E334)</f>
        <v>35</v>
      </c>
      <c r="F336" s="207" t="n">
        <f aca="false">SUM(F79+F135+F227+F274+F334)</f>
        <v>61</v>
      </c>
      <c r="G336" s="207" t="n">
        <f aca="false">SUM(G79+G135+G227+G274+G334)</f>
        <v>26</v>
      </c>
      <c r="H336" s="207" t="n">
        <f aca="false">SUM(H79+H135+H227+H274+H334)</f>
        <v>35</v>
      </c>
      <c r="I336" s="207" t="n">
        <f aca="false">SUM(I79+I135+I227+I274+I334)</f>
        <v>61</v>
      </c>
      <c r="J336" s="207" t="n">
        <f aca="false">SUM(J79+J135+J227+J274+J334)</f>
        <v>12388</v>
      </c>
      <c r="K336" s="207" t="n">
        <f aca="false">SUM(K79+K135+K227+K274+K334)</f>
        <v>15563</v>
      </c>
      <c r="L336" s="207" t="n">
        <f aca="false">SUM(L79+L135+L227+L274+L334)</f>
        <v>27951</v>
      </c>
      <c r="M336" s="207" t="n">
        <f aca="false">SUM(M79+M135+M227+M274+M334)</f>
        <v>12413</v>
      </c>
      <c r="N336" s="207" t="n">
        <f aca="false">SUM(N79+N135+N227+N274+N334)</f>
        <v>15599</v>
      </c>
      <c r="O336" s="207" t="n">
        <f aca="false">SUM(O79+O135+O227+O274+O334)</f>
        <v>28012</v>
      </c>
      <c r="P336" s="52"/>
    </row>
    <row r="337" customFormat="false" ht="24.75" hidden="false" customHeight="true" outlineLevel="0" collapsed="false">
      <c r="A337" s="208"/>
      <c r="B337" s="208"/>
      <c r="C337" s="208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52"/>
    </row>
    <row r="338" customFormat="false" ht="29.25" hidden="false" customHeight="true" outlineLevel="0" collapsed="false">
      <c r="A338" s="210" t="s">
        <v>248</v>
      </c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52"/>
    </row>
    <row r="339" customFormat="false" ht="15.75" hidden="false" customHeight="true" outlineLevel="0" collapsed="false">
      <c r="A339" s="34" t="s">
        <v>249</v>
      </c>
      <c r="B339" s="34"/>
      <c r="C339" s="34"/>
      <c r="D339" s="34"/>
      <c r="E339" s="34"/>
      <c r="F339" s="34"/>
      <c r="G339" s="35" t="s">
        <v>13</v>
      </c>
      <c r="H339" s="35"/>
      <c r="I339" s="35"/>
      <c r="J339" s="35"/>
      <c r="K339" s="35"/>
      <c r="L339" s="35"/>
      <c r="M339" s="35"/>
      <c r="N339" s="35"/>
      <c r="O339" s="35"/>
      <c r="P339" s="52"/>
    </row>
    <row r="340" customFormat="false" ht="24" hidden="false" customHeight="true" outlineLevel="0" collapsed="false">
      <c r="A340" s="35" t="s">
        <v>108</v>
      </c>
      <c r="B340" s="38" t="s">
        <v>16</v>
      </c>
      <c r="C340" s="38" t="s">
        <v>17</v>
      </c>
      <c r="D340" s="38" t="s">
        <v>18</v>
      </c>
      <c r="E340" s="38"/>
      <c r="F340" s="38"/>
      <c r="G340" s="38" t="s">
        <v>19</v>
      </c>
      <c r="H340" s="38"/>
      <c r="I340" s="38"/>
      <c r="J340" s="38" t="s">
        <v>20</v>
      </c>
      <c r="K340" s="38"/>
      <c r="L340" s="38"/>
      <c r="M340" s="38" t="s">
        <v>21</v>
      </c>
      <c r="N340" s="38"/>
      <c r="O340" s="38"/>
      <c r="P340" s="52"/>
      <c r="R340" s="40"/>
      <c r="S340" s="40"/>
      <c r="T340" s="40"/>
      <c r="U340" s="40"/>
      <c r="V340" s="40"/>
      <c r="W340" s="40"/>
      <c r="X340" s="40"/>
      <c r="Y340" s="40"/>
      <c r="Z340" s="40"/>
    </row>
    <row r="341" customFormat="false" ht="15.75" hidden="false" customHeight="true" outlineLevel="0" collapsed="false">
      <c r="A341" s="35" t="s">
        <v>109</v>
      </c>
      <c r="B341" s="89"/>
      <c r="C341" s="89"/>
      <c r="D341" s="44" t="s">
        <v>23</v>
      </c>
      <c r="E341" s="44" t="s">
        <v>24</v>
      </c>
      <c r="F341" s="44" t="s">
        <v>25</v>
      </c>
      <c r="G341" s="44" t="s">
        <v>23</v>
      </c>
      <c r="H341" s="44" t="s">
        <v>24</v>
      </c>
      <c r="I341" s="44" t="s">
        <v>25</v>
      </c>
      <c r="J341" s="44" t="s">
        <v>23</v>
      </c>
      <c r="K341" s="44" t="s">
        <v>24</v>
      </c>
      <c r="L341" s="44" t="s">
        <v>25</v>
      </c>
      <c r="M341" s="44" t="s">
        <v>23</v>
      </c>
      <c r="N341" s="44" t="s">
        <v>24</v>
      </c>
      <c r="O341" s="45" t="s">
        <v>25</v>
      </c>
      <c r="P341" s="90"/>
      <c r="Q341" s="7"/>
      <c r="R341" s="91"/>
      <c r="S341" s="91"/>
      <c r="T341" s="91"/>
      <c r="U341" s="91"/>
      <c r="V341" s="91"/>
      <c r="W341" s="91"/>
      <c r="X341" s="91"/>
      <c r="Y341" s="91"/>
      <c r="Z341" s="91"/>
    </row>
    <row r="342" customFormat="false" ht="15.75" hidden="false" customHeight="true" outlineLevel="0" collapsed="false">
      <c r="A342" s="53" t="s">
        <v>250</v>
      </c>
      <c r="B342" s="63" t="s">
        <v>45</v>
      </c>
      <c r="C342" s="49" t="s">
        <v>28</v>
      </c>
      <c r="D342" s="50" t="n">
        <v>0</v>
      </c>
      <c r="E342" s="50" t="n">
        <v>0</v>
      </c>
      <c r="F342" s="50" t="n">
        <v>0</v>
      </c>
      <c r="G342" s="50" t="n">
        <v>0</v>
      </c>
      <c r="H342" s="50" t="n">
        <v>0</v>
      </c>
      <c r="I342" s="50" t="n">
        <v>0</v>
      </c>
      <c r="J342" s="50" t="n">
        <v>9</v>
      </c>
      <c r="K342" s="50" t="n">
        <v>20</v>
      </c>
      <c r="L342" s="135" t="n">
        <v>29</v>
      </c>
      <c r="M342" s="105" t="n">
        <v>9</v>
      </c>
      <c r="N342" s="50" t="n">
        <v>20</v>
      </c>
      <c r="O342" s="51" t="n">
        <v>29</v>
      </c>
      <c r="P342" s="52" t="n">
        <f aca="false">+(N342-M342)/O342</f>
        <v>0.379310344827586</v>
      </c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211" t="s">
        <v>251</v>
      </c>
      <c r="B343" s="82" t="s">
        <v>45</v>
      </c>
      <c r="C343" s="57" t="s">
        <v>28</v>
      </c>
      <c r="D343" s="212" t="n">
        <v>0</v>
      </c>
      <c r="E343" s="212" t="n">
        <v>0</v>
      </c>
      <c r="F343" s="212" t="n">
        <v>0</v>
      </c>
      <c r="G343" s="212" t="n">
        <v>0</v>
      </c>
      <c r="H343" s="212" t="n">
        <v>0</v>
      </c>
      <c r="I343" s="212" t="n">
        <v>0</v>
      </c>
      <c r="J343" s="212" t="n">
        <v>23</v>
      </c>
      <c r="K343" s="212" t="n">
        <v>3</v>
      </c>
      <c r="L343" s="213" t="n">
        <v>26</v>
      </c>
      <c r="M343" s="214" t="n">
        <v>23</v>
      </c>
      <c r="N343" s="212" t="n">
        <v>3</v>
      </c>
      <c r="O343" s="215" t="n">
        <v>26</v>
      </c>
      <c r="P343" s="52" t="n">
        <f aca="false">+(N343-M343)/O343</f>
        <v>-0.769230769230769</v>
      </c>
      <c r="Q343" s="2" t="n">
        <v>0</v>
      </c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109" t="s">
        <v>46</v>
      </c>
      <c r="B344" s="109"/>
      <c r="C344" s="109"/>
      <c r="D344" s="44" t="n">
        <f aca="false">SUM(D342)</f>
        <v>0</v>
      </c>
      <c r="E344" s="44" t="n">
        <f aca="false">SUM(E342)</f>
        <v>0</v>
      </c>
      <c r="F344" s="44" t="n">
        <f aca="false">SUM(F342)</f>
        <v>0</v>
      </c>
      <c r="G344" s="44" t="n">
        <f aca="false">SUM(G342)</f>
        <v>0</v>
      </c>
      <c r="H344" s="44" t="n">
        <f aca="false">SUM(H342)</f>
        <v>0</v>
      </c>
      <c r="I344" s="44" t="n">
        <f aca="false">SUM(I342)</f>
        <v>0</v>
      </c>
      <c r="J344" s="44" t="n">
        <f aca="false">SUM(J342+J343)</f>
        <v>32</v>
      </c>
      <c r="K344" s="44" t="n">
        <f aca="false">SUM(K342+K343)</f>
        <v>23</v>
      </c>
      <c r="L344" s="44" t="n">
        <f aca="false">SUM(L342+L343)</f>
        <v>55</v>
      </c>
      <c r="M344" s="44" t="n">
        <f aca="false">SUM(M342+M343)</f>
        <v>32</v>
      </c>
      <c r="N344" s="44" t="n">
        <f aca="false">SUM(N342+N343)</f>
        <v>23</v>
      </c>
      <c r="O344" s="44" t="n">
        <f aca="false">SUM(O342+O343)</f>
        <v>55</v>
      </c>
      <c r="P344" s="52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67"/>
      <c r="B345" s="67"/>
      <c r="C345" s="6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2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78" t="s">
        <v>48</v>
      </c>
      <c r="B346" s="69"/>
      <c r="C346" s="69"/>
      <c r="D346" s="44" t="s">
        <v>23</v>
      </c>
      <c r="E346" s="44" t="s">
        <v>24</v>
      </c>
      <c r="F346" s="44" t="s">
        <v>25</v>
      </c>
      <c r="G346" s="44" t="s">
        <v>23</v>
      </c>
      <c r="H346" s="44" t="s">
        <v>24</v>
      </c>
      <c r="I346" s="44" t="s">
        <v>25</v>
      </c>
      <c r="J346" s="44" t="s">
        <v>23</v>
      </c>
      <c r="K346" s="44" t="s">
        <v>24</v>
      </c>
      <c r="L346" s="44" t="s">
        <v>25</v>
      </c>
      <c r="M346" s="44" t="s">
        <v>23</v>
      </c>
      <c r="N346" s="44" t="s">
        <v>24</v>
      </c>
      <c r="O346" s="45" t="s">
        <v>25</v>
      </c>
      <c r="P346" s="52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175" t="s">
        <v>252</v>
      </c>
      <c r="B347" s="71" t="s">
        <v>66</v>
      </c>
      <c r="C347" s="49" t="s">
        <v>28</v>
      </c>
      <c r="D347" s="50" t="n">
        <v>0</v>
      </c>
      <c r="E347" s="50" t="n">
        <v>0</v>
      </c>
      <c r="F347" s="50" t="n">
        <v>0</v>
      </c>
      <c r="G347" s="50" t="n">
        <v>0</v>
      </c>
      <c r="H347" s="50" t="n">
        <v>0</v>
      </c>
      <c r="I347" s="50" t="n">
        <v>0</v>
      </c>
      <c r="J347" s="216" t="n">
        <v>26</v>
      </c>
      <c r="K347" s="216" t="n">
        <v>38</v>
      </c>
      <c r="L347" s="216" t="n">
        <v>64</v>
      </c>
      <c r="M347" s="84" t="n">
        <v>26</v>
      </c>
      <c r="N347" s="84" t="n">
        <v>38</v>
      </c>
      <c r="O347" s="85" t="n">
        <v>64</v>
      </c>
      <c r="P347" s="52" t="n">
        <f aca="false">+(N347-M347)/O347</f>
        <v>0.1875</v>
      </c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149" t="s">
        <v>253</v>
      </c>
      <c r="B348" s="71" t="s">
        <v>66</v>
      </c>
      <c r="C348" s="49" t="s">
        <v>28</v>
      </c>
      <c r="D348" s="50" t="n">
        <v>0</v>
      </c>
      <c r="E348" s="50" t="n">
        <v>0</v>
      </c>
      <c r="F348" s="50" t="n">
        <v>0</v>
      </c>
      <c r="G348" s="50" t="n">
        <v>0</v>
      </c>
      <c r="H348" s="50" t="n">
        <v>0</v>
      </c>
      <c r="I348" s="50" t="n">
        <v>0</v>
      </c>
      <c r="J348" s="84" t="n">
        <v>33</v>
      </c>
      <c r="K348" s="84" t="n">
        <v>69</v>
      </c>
      <c r="L348" s="216" t="n">
        <v>102</v>
      </c>
      <c r="M348" s="84" t="n">
        <v>33</v>
      </c>
      <c r="N348" s="84" t="n">
        <v>69</v>
      </c>
      <c r="O348" s="85" t="n">
        <v>102</v>
      </c>
      <c r="P348" s="52" t="n">
        <f aca="false">+(N348-M348)/O348</f>
        <v>0.352941176470588</v>
      </c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149" t="s">
        <v>254</v>
      </c>
      <c r="B349" s="71" t="s">
        <v>63</v>
      </c>
      <c r="C349" s="49" t="s">
        <v>28</v>
      </c>
      <c r="D349" s="50" t="n">
        <v>0</v>
      </c>
      <c r="E349" s="50" t="n">
        <v>0</v>
      </c>
      <c r="F349" s="50" t="n">
        <v>0</v>
      </c>
      <c r="G349" s="50" t="n">
        <v>0</v>
      </c>
      <c r="H349" s="50" t="n">
        <v>0</v>
      </c>
      <c r="I349" s="50" t="n">
        <v>0</v>
      </c>
      <c r="J349" s="84" t="n">
        <v>15</v>
      </c>
      <c r="K349" s="84" t="n">
        <v>31</v>
      </c>
      <c r="L349" s="216" t="n">
        <v>46</v>
      </c>
      <c r="M349" s="84" t="n">
        <v>15</v>
      </c>
      <c r="N349" s="84" t="n">
        <v>31</v>
      </c>
      <c r="O349" s="85" t="n">
        <v>46</v>
      </c>
      <c r="P349" s="52" t="n">
        <f aca="false">+(N349-M349)/O349</f>
        <v>0.347826086956522</v>
      </c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109" t="s">
        <v>46</v>
      </c>
      <c r="B350" s="109"/>
      <c r="C350" s="109"/>
      <c r="D350" s="44" t="n">
        <f aca="false">SUM(D347:D349)</f>
        <v>0</v>
      </c>
      <c r="E350" s="44" t="n">
        <f aca="false">SUM(E347:E349)</f>
        <v>0</v>
      </c>
      <c r="F350" s="44" t="n">
        <f aca="false">SUM(F347:F349)</f>
        <v>0</v>
      </c>
      <c r="G350" s="44" t="n">
        <f aca="false">SUM(G347:G349)</f>
        <v>0</v>
      </c>
      <c r="H350" s="44" t="n">
        <f aca="false">SUM(H347:H349)</f>
        <v>0</v>
      </c>
      <c r="I350" s="44" t="n">
        <f aca="false">SUM(I347:I349)</f>
        <v>0</v>
      </c>
      <c r="J350" s="44" t="n">
        <f aca="false">SUM(J347:J349)</f>
        <v>74</v>
      </c>
      <c r="K350" s="44" t="n">
        <f aca="false">SUM(K347:K349)</f>
        <v>138</v>
      </c>
      <c r="L350" s="44" t="n">
        <f aca="false">SUM(L347:L349)</f>
        <v>212</v>
      </c>
      <c r="M350" s="44" t="n">
        <f aca="false">SUM(M347:M349)</f>
        <v>74</v>
      </c>
      <c r="N350" s="44" t="n">
        <f aca="false">SUM(N347:N349)</f>
        <v>138</v>
      </c>
      <c r="O350" s="45" t="n">
        <f aca="false">SUM(O347:O349)</f>
        <v>212</v>
      </c>
      <c r="P350" s="52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111" t="s">
        <v>77</v>
      </c>
      <c r="B351" s="111"/>
      <c r="C351" s="111"/>
      <c r="D351" s="44" t="n">
        <v>0</v>
      </c>
      <c r="E351" s="44" t="n">
        <v>0</v>
      </c>
      <c r="F351" s="44" t="n">
        <v>0</v>
      </c>
      <c r="G351" s="44" t="n">
        <v>0</v>
      </c>
      <c r="H351" s="44" t="n">
        <v>0</v>
      </c>
      <c r="I351" s="44" t="n">
        <v>0</v>
      </c>
      <c r="J351" s="44" t="n">
        <f aca="false">J344+J350</f>
        <v>106</v>
      </c>
      <c r="K351" s="44" t="n">
        <f aca="false">K344+K350</f>
        <v>161</v>
      </c>
      <c r="L351" s="44" t="n">
        <f aca="false">L344+L350</f>
        <v>267</v>
      </c>
      <c r="M351" s="44" t="n">
        <f aca="false">M344+M350</f>
        <v>106</v>
      </c>
      <c r="N351" s="44" t="n">
        <f aca="false">N344+N350</f>
        <v>161</v>
      </c>
      <c r="O351" s="44" t="n">
        <f aca="false">O344+O350</f>
        <v>267</v>
      </c>
      <c r="P351" s="52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112"/>
      <c r="B352" s="112"/>
      <c r="C352" s="11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2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112"/>
      <c r="B353" s="112"/>
      <c r="C353" s="11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2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112"/>
      <c r="B354" s="112"/>
      <c r="C354" s="11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2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112"/>
      <c r="B355" s="112"/>
      <c r="C355" s="11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2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20.25" hidden="false" customHeight="true" outlineLevel="0" collapsed="false">
      <c r="A356" s="34" t="s">
        <v>78</v>
      </c>
      <c r="B356" s="34"/>
      <c r="C356" s="34"/>
      <c r="D356" s="34"/>
      <c r="E356" s="34"/>
      <c r="F356" s="34"/>
      <c r="G356" s="35" t="s">
        <v>13</v>
      </c>
      <c r="H356" s="35"/>
      <c r="I356" s="35"/>
      <c r="J356" s="35"/>
      <c r="K356" s="35"/>
      <c r="L356" s="35"/>
      <c r="M356" s="35"/>
      <c r="N356" s="35"/>
      <c r="O356" s="35"/>
      <c r="P356" s="52"/>
    </row>
    <row r="357" customFormat="false" ht="24" hidden="false" customHeight="true" outlineLevel="0" collapsed="false">
      <c r="A357" s="35" t="s">
        <v>108</v>
      </c>
      <c r="B357" s="38" t="s">
        <v>16</v>
      </c>
      <c r="C357" s="38" t="s">
        <v>17</v>
      </c>
      <c r="D357" s="38" t="s">
        <v>18</v>
      </c>
      <c r="E357" s="38"/>
      <c r="F357" s="38"/>
      <c r="G357" s="38" t="s">
        <v>19</v>
      </c>
      <c r="H357" s="38"/>
      <c r="I357" s="38"/>
      <c r="J357" s="38" t="s">
        <v>20</v>
      </c>
      <c r="K357" s="38"/>
      <c r="L357" s="38"/>
      <c r="M357" s="38" t="s">
        <v>21</v>
      </c>
      <c r="N357" s="38"/>
      <c r="O357" s="38"/>
      <c r="P357" s="52"/>
      <c r="R357" s="40"/>
      <c r="S357" s="40"/>
      <c r="T357" s="40"/>
      <c r="U357" s="40"/>
      <c r="V357" s="40"/>
      <c r="W357" s="40"/>
      <c r="X357" s="40"/>
      <c r="Y357" s="40"/>
      <c r="Z357" s="40"/>
    </row>
    <row r="358" customFormat="false" ht="15" hidden="false" customHeight="true" outlineLevel="0" collapsed="false">
      <c r="A358" s="35" t="s">
        <v>109</v>
      </c>
      <c r="B358" s="89"/>
      <c r="C358" s="89"/>
      <c r="D358" s="44" t="s">
        <v>23</v>
      </c>
      <c r="E358" s="44" t="s">
        <v>24</v>
      </c>
      <c r="F358" s="44" t="s">
        <v>25</v>
      </c>
      <c r="G358" s="44" t="s">
        <v>23</v>
      </c>
      <c r="H358" s="44" t="s">
        <v>24</v>
      </c>
      <c r="I358" s="44" t="s">
        <v>25</v>
      </c>
      <c r="J358" s="44" t="s">
        <v>23</v>
      </c>
      <c r="K358" s="44" t="s">
        <v>24</v>
      </c>
      <c r="L358" s="44" t="s">
        <v>25</v>
      </c>
      <c r="M358" s="44" t="s">
        <v>23</v>
      </c>
      <c r="N358" s="44" t="s">
        <v>24</v>
      </c>
      <c r="O358" s="45" t="s">
        <v>25</v>
      </c>
      <c r="P358" s="90"/>
      <c r="Q358" s="7"/>
      <c r="R358" s="91"/>
      <c r="S358" s="91"/>
      <c r="T358" s="91"/>
      <c r="U358" s="91"/>
      <c r="V358" s="91"/>
      <c r="W358" s="91"/>
      <c r="X358" s="91"/>
      <c r="Y358" s="91"/>
      <c r="Z358" s="91"/>
    </row>
    <row r="359" customFormat="false" ht="15.75" hidden="false" customHeight="true" outlineLevel="0" collapsed="false">
      <c r="A359" s="53" t="s">
        <v>250</v>
      </c>
      <c r="B359" s="63" t="s">
        <v>90</v>
      </c>
      <c r="C359" s="49" t="s">
        <v>80</v>
      </c>
      <c r="D359" s="50" t="n">
        <v>0</v>
      </c>
      <c r="E359" s="50" t="n">
        <v>0</v>
      </c>
      <c r="F359" s="50" t="n">
        <v>0</v>
      </c>
      <c r="G359" s="50" t="n">
        <v>0</v>
      </c>
      <c r="H359" s="50" t="n">
        <v>0</v>
      </c>
      <c r="I359" s="50" t="n">
        <v>0</v>
      </c>
      <c r="J359" s="50" t="n">
        <v>9</v>
      </c>
      <c r="K359" s="50" t="n">
        <v>16</v>
      </c>
      <c r="L359" s="135" t="n">
        <v>25</v>
      </c>
      <c r="M359" s="105" t="n">
        <v>9</v>
      </c>
      <c r="N359" s="50" t="n">
        <v>16</v>
      </c>
      <c r="O359" s="51" t="n">
        <v>25</v>
      </c>
      <c r="P359" s="52" t="n">
        <f aca="false">+(N359-M359)/O359</f>
        <v>0.28</v>
      </c>
      <c r="Q359" s="7"/>
      <c r="R359" s="91"/>
      <c r="S359" s="91"/>
      <c r="T359" s="91"/>
      <c r="U359" s="91"/>
      <c r="V359" s="91"/>
      <c r="W359" s="91"/>
      <c r="X359" s="91"/>
      <c r="Y359" s="91"/>
      <c r="Z359" s="91"/>
    </row>
    <row r="360" customFormat="false" ht="15.75" hidden="false" customHeight="true" outlineLevel="0" collapsed="false">
      <c r="A360" s="53" t="s">
        <v>251</v>
      </c>
      <c r="B360" s="63" t="s">
        <v>255</v>
      </c>
      <c r="C360" s="49" t="s">
        <v>80</v>
      </c>
      <c r="D360" s="50" t="n">
        <v>0</v>
      </c>
      <c r="E360" s="50" t="n">
        <v>0</v>
      </c>
      <c r="F360" s="50" t="n">
        <v>0</v>
      </c>
      <c r="G360" s="50" t="n">
        <v>0</v>
      </c>
      <c r="H360" s="50" t="n">
        <v>0</v>
      </c>
      <c r="I360" s="50" t="n">
        <v>0</v>
      </c>
      <c r="J360" s="50" t="n">
        <v>10</v>
      </c>
      <c r="K360" s="50" t="n">
        <v>11</v>
      </c>
      <c r="L360" s="193" t="n">
        <v>21</v>
      </c>
      <c r="M360" s="105" t="n">
        <v>10</v>
      </c>
      <c r="N360" s="50" t="n">
        <v>11</v>
      </c>
      <c r="O360" s="51" t="n">
        <v>21</v>
      </c>
      <c r="P360" s="52" t="n">
        <f aca="false">+(N360-M360)/O360</f>
        <v>0.0476190476190476</v>
      </c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109" t="s">
        <v>46</v>
      </c>
      <c r="B361" s="109"/>
      <c r="C361" s="109"/>
      <c r="D361" s="44" t="n">
        <f aca="false">SUM(D359:D360)</f>
        <v>0</v>
      </c>
      <c r="E361" s="44" t="n">
        <f aca="false">SUM(E359:E360)</f>
        <v>0</v>
      </c>
      <c r="F361" s="44" t="n">
        <f aca="false">SUM(F359:F360)</f>
        <v>0</v>
      </c>
      <c r="G361" s="44" t="n">
        <f aca="false">SUM(G359:G360)</f>
        <v>0</v>
      </c>
      <c r="H361" s="44" t="n">
        <f aca="false">SUM(H359:H360)</f>
        <v>0</v>
      </c>
      <c r="I361" s="44" t="n">
        <f aca="false">SUM(I359:I360)</f>
        <v>0</v>
      </c>
      <c r="J361" s="44" t="n">
        <f aca="false">SUM(J359:J360)</f>
        <v>19</v>
      </c>
      <c r="K361" s="44" t="n">
        <f aca="false">SUM(K359:K360)</f>
        <v>27</v>
      </c>
      <c r="L361" s="44" t="n">
        <f aca="false">SUM(L359:L360)</f>
        <v>46</v>
      </c>
      <c r="M361" s="44" t="n">
        <f aca="false">SUM(M359:M360)</f>
        <v>19</v>
      </c>
      <c r="N361" s="44" t="n">
        <f aca="false">SUM(N359:N360)</f>
        <v>27</v>
      </c>
      <c r="O361" s="217" t="n">
        <f aca="false">SUM(O359:O360)</f>
        <v>46</v>
      </c>
      <c r="P361" s="52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111" t="s">
        <v>77</v>
      </c>
      <c r="B362" s="111"/>
      <c r="C362" s="111"/>
      <c r="D362" s="44" t="n">
        <f aca="false">SUM(D361)</f>
        <v>0</v>
      </c>
      <c r="E362" s="44" t="n">
        <v>0</v>
      </c>
      <c r="F362" s="44" t="n">
        <v>0</v>
      </c>
      <c r="G362" s="44" t="n">
        <v>0</v>
      </c>
      <c r="H362" s="44" t="n">
        <v>0</v>
      </c>
      <c r="I362" s="44" t="n">
        <v>0</v>
      </c>
      <c r="J362" s="44" t="n">
        <f aca="false">SUM(J361)</f>
        <v>19</v>
      </c>
      <c r="K362" s="44" t="n">
        <f aca="false">SUM(K361)</f>
        <v>27</v>
      </c>
      <c r="L362" s="44" t="n">
        <f aca="false">SUM(J362:K362)</f>
        <v>46</v>
      </c>
      <c r="M362" s="114" t="n">
        <f aca="false">SUM(M361)</f>
        <v>19</v>
      </c>
      <c r="N362" s="44" t="n">
        <f aca="false">SUM(N361)</f>
        <v>27</v>
      </c>
      <c r="O362" s="45" t="n">
        <f aca="false">SUM(M362:N362)</f>
        <v>46</v>
      </c>
      <c r="P362" s="52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25.5" hidden="false" customHeight="true" outlineLevel="0" collapsed="false">
      <c r="A363" s="112"/>
      <c r="B363" s="112"/>
      <c r="C363" s="11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2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34" t="s">
        <v>107</v>
      </c>
      <c r="B364" s="34"/>
      <c r="C364" s="34"/>
      <c r="D364" s="34"/>
      <c r="E364" s="34"/>
      <c r="F364" s="34"/>
      <c r="G364" s="35" t="s">
        <v>13</v>
      </c>
      <c r="H364" s="35"/>
      <c r="I364" s="35"/>
      <c r="J364" s="35"/>
      <c r="K364" s="35"/>
      <c r="L364" s="35"/>
      <c r="M364" s="35"/>
      <c r="N364" s="35"/>
      <c r="O364" s="35"/>
      <c r="P364" s="52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24" hidden="false" customHeight="true" outlineLevel="0" collapsed="false">
      <c r="A365" s="35" t="s">
        <v>108</v>
      </c>
      <c r="B365" s="38" t="s">
        <v>16</v>
      </c>
      <c r="C365" s="38" t="s">
        <v>17</v>
      </c>
      <c r="D365" s="38" t="s">
        <v>18</v>
      </c>
      <c r="E365" s="38"/>
      <c r="F365" s="38"/>
      <c r="G365" s="38" t="s">
        <v>19</v>
      </c>
      <c r="H365" s="38"/>
      <c r="I365" s="38"/>
      <c r="J365" s="38" t="s">
        <v>20</v>
      </c>
      <c r="K365" s="38"/>
      <c r="L365" s="38"/>
      <c r="M365" s="38" t="s">
        <v>21</v>
      </c>
      <c r="N365" s="38"/>
      <c r="O365" s="38"/>
      <c r="P365" s="52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24" hidden="false" customHeight="true" outlineLevel="0" collapsed="false">
      <c r="A366" s="35" t="s">
        <v>109</v>
      </c>
      <c r="B366" s="89"/>
      <c r="C366" s="89"/>
      <c r="D366" s="44" t="s">
        <v>23</v>
      </c>
      <c r="E366" s="44" t="s">
        <v>24</v>
      </c>
      <c r="F366" s="44" t="s">
        <v>25</v>
      </c>
      <c r="G366" s="44" t="s">
        <v>23</v>
      </c>
      <c r="H366" s="44" t="s">
        <v>24</v>
      </c>
      <c r="I366" s="44" t="s">
        <v>25</v>
      </c>
      <c r="J366" s="44" t="s">
        <v>23</v>
      </c>
      <c r="K366" s="44" t="s">
        <v>24</v>
      </c>
      <c r="L366" s="44" t="s">
        <v>25</v>
      </c>
      <c r="M366" s="44" t="s">
        <v>23</v>
      </c>
      <c r="N366" s="44" t="s">
        <v>24</v>
      </c>
      <c r="O366" s="45" t="s">
        <v>25</v>
      </c>
      <c r="P366" s="52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24" hidden="false" customHeight="true" outlineLevel="0" collapsed="false">
      <c r="A367" s="146" t="s">
        <v>250</v>
      </c>
      <c r="B367" s="132" t="s">
        <v>119</v>
      </c>
      <c r="C367" s="86" t="s">
        <v>111</v>
      </c>
      <c r="D367" s="73" t="n">
        <v>0</v>
      </c>
      <c r="E367" s="73" t="n">
        <v>0</v>
      </c>
      <c r="F367" s="73" t="n">
        <v>0</v>
      </c>
      <c r="G367" s="73" t="n">
        <v>0</v>
      </c>
      <c r="H367" s="73" t="n">
        <v>0</v>
      </c>
      <c r="I367" s="73" t="n">
        <v>0</v>
      </c>
      <c r="J367" s="73" t="n">
        <v>13</v>
      </c>
      <c r="K367" s="73" t="n">
        <v>22</v>
      </c>
      <c r="L367" s="160" t="n">
        <v>35</v>
      </c>
      <c r="M367" s="140" t="n">
        <v>13</v>
      </c>
      <c r="N367" s="73" t="n">
        <v>22</v>
      </c>
      <c r="O367" s="74" t="n">
        <v>35</v>
      </c>
      <c r="P367" s="52" t="n">
        <f aca="false">+(N367-M367)/O367</f>
        <v>0.257142857142857</v>
      </c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24" hidden="false" customHeight="true" outlineLevel="0" collapsed="false">
      <c r="A368" s="109" t="s">
        <v>46</v>
      </c>
      <c r="B368" s="109"/>
      <c r="C368" s="109"/>
      <c r="D368" s="44" t="n">
        <f aca="false">SUM(D367)</f>
        <v>0</v>
      </c>
      <c r="E368" s="44" t="n">
        <f aca="false">SUM(E367)</f>
        <v>0</v>
      </c>
      <c r="F368" s="44" t="n">
        <f aca="false">SUM(F367)</f>
        <v>0</v>
      </c>
      <c r="G368" s="44" t="n">
        <f aca="false">SUM(G367)</f>
        <v>0</v>
      </c>
      <c r="H368" s="44" t="n">
        <f aca="false">SUM(H367)</f>
        <v>0</v>
      </c>
      <c r="I368" s="44" t="n">
        <f aca="false">SUM(I367)</f>
        <v>0</v>
      </c>
      <c r="J368" s="44" t="n">
        <f aca="false">SUM(J367)</f>
        <v>13</v>
      </c>
      <c r="K368" s="44" t="n">
        <f aca="false">SUM(K367)</f>
        <v>22</v>
      </c>
      <c r="L368" s="44" t="n">
        <f aca="false">SUM(L367)</f>
        <v>35</v>
      </c>
      <c r="M368" s="44" t="n">
        <f aca="false">SUM(M367)</f>
        <v>13</v>
      </c>
      <c r="N368" s="44" t="n">
        <f aca="false">SUM(N367)</f>
        <v>22</v>
      </c>
      <c r="O368" s="45" t="n">
        <f aca="false">SUM(O367)</f>
        <v>35</v>
      </c>
      <c r="P368" s="52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24" hidden="false" customHeight="true" outlineLevel="0" collapsed="false">
      <c r="A369" s="218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219"/>
      <c r="P369" s="52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26.25" hidden="false" customHeight="true" outlineLevel="0" collapsed="false">
      <c r="A370" s="34" t="s">
        <v>107</v>
      </c>
      <c r="B370" s="34"/>
      <c r="C370" s="34"/>
      <c r="D370" s="34"/>
      <c r="E370" s="34"/>
      <c r="F370" s="34"/>
      <c r="G370" s="35" t="s">
        <v>13</v>
      </c>
      <c r="H370" s="35"/>
      <c r="I370" s="35"/>
      <c r="J370" s="35"/>
      <c r="K370" s="35"/>
      <c r="L370" s="35"/>
      <c r="M370" s="35"/>
      <c r="N370" s="35"/>
      <c r="O370" s="35"/>
      <c r="P370" s="52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24" hidden="false" customHeight="true" outlineLevel="0" collapsed="false">
      <c r="A371" s="35" t="s">
        <v>108</v>
      </c>
      <c r="B371" s="38" t="s">
        <v>16</v>
      </c>
      <c r="C371" s="38" t="s">
        <v>17</v>
      </c>
      <c r="D371" s="38" t="s">
        <v>18</v>
      </c>
      <c r="E371" s="38"/>
      <c r="F371" s="38"/>
      <c r="G371" s="38" t="s">
        <v>19</v>
      </c>
      <c r="H371" s="38"/>
      <c r="I371" s="38"/>
      <c r="J371" s="38" t="s">
        <v>20</v>
      </c>
      <c r="K371" s="38"/>
      <c r="L371" s="38"/>
      <c r="M371" s="38" t="s">
        <v>21</v>
      </c>
      <c r="N371" s="38"/>
      <c r="O371" s="38"/>
      <c r="P371" s="52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24" hidden="false" customHeight="true" outlineLevel="0" collapsed="false">
      <c r="A372" s="35" t="s">
        <v>48</v>
      </c>
      <c r="B372" s="89"/>
      <c r="C372" s="89"/>
      <c r="D372" s="44" t="s">
        <v>23</v>
      </c>
      <c r="E372" s="44" t="s">
        <v>24</v>
      </c>
      <c r="F372" s="44" t="s">
        <v>25</v>
      </c>
      <c r="G372" s="44" t="s">
        <v>23</v>
      </c>
      <c r="H372" s="44" t="s">
        <v>24</v>
      </c>
      <c r="I372" s="44" t="s">
        <v>25</v>
      </c>
      <c r="J372" s="44" t="s">
        <v>23</v>
      </c>
      <c r="K372" s="44" t="s">
        <v>24</v>
      </c>
      <c r="L372" s="44" t="s">
        <v>25</v>
      </c>
      <c r="M372" s="44" t="s">
        <v>23</v>
      </c>
      <c r="N372" s="44" t="s">
        <v>24</v>
      </c>
      <c r="O372" s="45" t="s">
        <v>25</v>
      </c>
      <c r="P372" s="52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24" hidden="false" customHeight="true" outlineLevel="0" collapsed="false">
      <c r="A373" s="220" t="s">
        <v>256</v>
      </c>
      <c r="B373" s="63" t="s">
        <v>134</v>
      </c>
      <c r="C373" s="50" t="s">
        <v>111</v>
      </c>
      <c r="D373" s="50" t="n">
        <v>0</v>
      </c>
      <c r="E373" s="50" t="n">
        <v>0</v>
      </c>
      <c r="F373" s="50" t="n">
        <v>0</v>
      </c>
      <c r="G373" s="50" t="n">
        <v>0</v>
      </c>
      <c r="H373" s="50" t="n">
        <v>0</v>
      </c>
      <c r="I373" s="50" t="n">
        <v>0</v>
      </c>
      <c r="J373" s="50" t="n">
        <v>4</v>
      </c>
      <c r="K373" s="50" t="n">
        <v>6</v>
      </c>
      <c r="L373" s="93" t="n">
        <v>10</v>
      </c>
      <c r="M373" s="50" t="n">
        <v>4</v>
      </c>
      <c r="N373" s="50" t="n">
        <v>6</v>
      </c>
      <c r="O373" s="51" t="n">
        <v>10</v>
      </c>
      <c r="P373" s="52" t="n">
        <f aca="false">+(N373-M373)/O373</f>
        <v>0.2</v>
      </c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24" hidden="false" customHeight="true" outlineLevel="0" collapsed="false">
      <c r="A374" s="109" t="s">
        <v>46</v>
      </c>
      <c r="B374" s="109"/>
      <c r="C374" s="109"/>
      <c r="D374" s="44" t="n">
        <f aca="false">SUM(D373)</f>
        <v>0</v>
      </c>
      <c r="E374" s="44" t="n">
        <f aca="false">SUM(E373)</f>
        <v>0</v>
      </c>
      <c r="F374" s="44" t="n">
        <f aca="false">SUM(F373)</f>
        <v>0</v>
      </c>
      <c r="G374" s="44" t="n">
        <f aca="false">SUM(G373)</f>
        <v>0</v>
      </c>
      <c r="H374" s="44" t="n">
        <f aca="false">SUM(H373)</f>
        <v>0</v>
      </c>
      <c r="I374" s="44" t="n">
        <f aca="false">SUM(I373)</f>
        <v>0</v>
      </c>
      <c r="J374" s="44" t="n">
        <f aca="false">SUM(J373)</f>
        <v>4</v>
      </c>
      <c r="K374" s="44" t="n">
        <f aca="false">SUM(K373)</f>
        <v>6</v>
      </c>
      <c r="L374" s="44" t="n">
        <f aca="false">SUM(L373)</f>
        <v>10</v>
      </c>
      <c r="M374" s="44" t="n">
        <f aca="false">SUM(M373)</f>
        <v>4</v>
      </c>
      <c r="N374" s="44" t="n">
        <f aca="false">SUM(N373)</f>
        <v>6</v>
      </c>
      <c r="O374" s="44" t="n">
        <f aca="false">SUM(O373)</f>
        <v>10</v>
      </c>
      <c r="P374" s="52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24" hidden="false" customHeight="true" outlineLevel="0" collapsed="false">
      <c r="A375" s="218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219"/>
      <c r="P375" s="52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24" hidden="false" customHeight="true" outlineLevel="0" collapsed="false">
      <c r="A376" s="218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219"/>
      <c r="P376" s="52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78" t="s">
        <v>72</v>
      </c>
      <c r="B377" s="69"/>
      <c r="C377" s="69"/>
      <c r="D377" s="44" t="s">
        <v>23</v>
      </c>
      <c r="E377" s="44" t="s">
        <v>24</v>
      </c>
      <c r="F377" s="44" t="s">
        <v>25</v>
      </c>
      <c r="G377" s="44" t="s">
        <v>23</v>
      </c>
      <c r="H377" s="44" t="s">
        <v>24</v>
      </c>
      <c r="I377" s="44" t="s">
        <v>25</v>
      </c>
      <c r="J377" s="44" t="s">
        <v>23</v>
      </c>
      <c r="K377" s="44" t="s">
        <v>24</v>
      </c>
      <c r="L377" s="44" t="s">
        <v>25</v>
      </c>
      <c r="M377" s="44" t="s">
        <v>23</v>
      </c>
      <c r="N377" s="44" t="s">
        <v>24</v>
      </c>
      <c r="O377" s="45" t="s">
        <v>25</v>
      </c>
      <c r="P377" s="52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221" t="s">
        <v>257</v>
      </c>
      <c r="B378" s="150" t="s">
        <v>258</v>
      </c>
      <c r="C378" s="50" t="s">
        <v>111</v>
      </c>
      <c r="D378" s="50" t="n">
        <v>0</v>
      </c>
      <c r="E378" s="50" t="n">
        <v>0</v>
      </c>
      <c r="F378" s="50" t="n">
        <v>0</v>
      </c>
      <c r="G378" s="73" t="n">
        <v>0</v>
      </c>
      <c r="H378" s="73" t="n">
        <v>0</v>
      </c>
      <c r="I378" s="73" t="n">
        <v>0</v>
      </c>
      <c r="J378" s="73" t="n">
        <v>8</v>
      </c>
      <c r="K378" s="73" t="n">
        <v>18</v>
      </c>
      <c r="L378" s="73" t="n">
        <v>26</v>
      </c>
      <c r="M378" s="73" t="n">
        <v>8</v>
      </c>
      <c r="N378" s="73" t="n">
        <v>18</v>
      </c>
      <c r="O378" s="74" t="n">
        <v>26</v>
      </c>
      <c r="P378" s="52" t="n">
        <f aca="false">+(N378-M378)/O378</f>
        <v>0.384615384615385</v>
      </c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155" t="s">
        <v>259</v>
      </c>
      <c r="B379" s="152" t="s">
        <v>260</v>
      </c>
      <c r="C379" s="58" t="s">
        <v>111</v>
      </c>
      <c r="D379" s="58" t="n">
        <v>0</v>
      </c>
      <c r="E379" s="58" t="n">
        <v>0</v>
      </c>
      <c r="F379" s="58" t="n">
        <v>0</v>
      </c>
      <c r="G379" s="58" t="n">
        <v>0</v>
      </c>
      <c r="H379" s="58" t="n">
        <v>0</v>
      </c>
      <c r="I379" s="58" t="n">
        <v>0</v>
      </c>
      <c r="J379" s="58" t="n">
        <v>6</v>
      </c>
      <c r="K379" s="58" t="n">
        <v>4</v>
      </c>
      <c r="L379" s="58" t="n">
        <v>10</v>
      </c>
      <c r="M379" s="58" t="n">
        <v>6</v>
      </c>
      <c r="N379" s="58" t="n">
        <v>4</v>
      </c>
      <c r="O379" s="59" t="n">
        <v>10</v>
      </c>
      <c r="P379" s="60" t="n">
        <f aca="false">+(N379-M379)/O379</f>
        <v>-0.2</v>
      </c>
      <c r="Q379" s="61" t="n">
        <v>1</v>
      </c>
      <c r="R379" s="155" t="s">
        <v>259</v>
      </c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222" t="s">
        <v>261</v>
      </c>
      <c r="B380" s="147" t="s">
        <v>158</v>
      </c>
      <c r="C380" s="50" t="s">
        <v>111</v>
      </c>
      <c r="D380" s="50" t="n">
        <v>0</v>
      </c>
      <c r="E380" s="50" t="n">
        <v>0</v>
      </c>
      <c r="F380" s="50" t="n">
        <v>0</v>
      </c>
      <c r="G380" s="50" t="n">
        <v>0</v>
      </c>
      <c r="H380" s="50" t="n">
        <v>0</v>
      </c>
      <c r="I380" s="50" t="n">
        <v>0</v>
      </c>
      <c r="J380" s="50" t="n">
        <v>5</v>
      </c>
      <c r="K380" s="50" t="n">
        <v>21</v>
      </c>
      <c r="L380" s="50" t="n">
        <v>26</v>
      </c>
      <c r="M380" s="50" t="n">
        <v>5</v>
      </c>
      <c r="N380" s="50" t="n">
        <v>21</v>
      </c>
      <c r="O380" s="51" t="n">
        <v>26</v>
      </c>
      <c r="P380" s="52" t="n">
        <f aca="false">+(N380-M380)/O380</f>
        <v>0.615384615384615</v>
      </c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155" t="s">
        <v>262</v>
      </c>
      <c r="B381" s="82" t="s">
        <v>148</v>
      </c>
      <c r="C381" s="58" t="s">
        <v>111</v>
      </c>
      <c r="D381" s="58" t="n">
        <v>0</v>
      </c>
      <c r="E381" s="58" t="n">
        <v>0</v>
      </c>
      <c r="F381" s="58" t="n">
        <v>0</v>
      </c>
      <c r="G381" s="58" t="n">
        <v>0</v>
      </c>
      <c r="H381" s="58" t="n">
        <v>0</v>
      </c>
      <c r="I381" s="58" t="n">
        <v>0</v>
      </c>
      <c r="J381" s="58" t="n">
        <v>9</v>
      </c>
      <c r="K381" s="58" t="n">
        <v>6</v>
      </c>
      <c r="L381" s="58" t="n">
        <v>15</v>
      </c>
      <c r="M381" s="58" t="n">
        <v>9</v>
      </c>
      <c r="N381" s="58" t="n">
        <v>6</v>
      </c>
      <c r="O381" s="59" t="n">
        <v>15</v>
      </c>
      <c r="P381" s="60" t="n">
        <f aca="false">+(N381-M381)/O381</f>
        <v>-0.2</v>
      </c>
      <c r="Q381" s="61" t="n">
        <v>1</v>
      </c>
      <c r="R381" s="155" t="s">
        <v>262</v>
      </c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155" t="s">
        <v>263</v>
      </c>
      <c r="B382" s="152" t="s">
        <v>154</v>
      </c>
      <c r="C382" s="58" t="s">
        <v>111</v>
      </c>
      <c r="D382" s="58" t="n">
        <v>0</v>
      </c>
      <c r="E382" s="58" t="n">
        <v>0</v>
      </c>
      <c r="F382" s="58" t="n">
        <v>0</v>
      </c>
      <c r="G382" s="58" t="n">
        <v>0</v>
      </c>
      <c r="H382" s="58" t="n">
        <v>0</v>
      </c>
      <c r="I382" s="58" t="n">
        <v>0</v>
      </c>
      <c r="J382" s="58" t="n">
        <v>6</v>
      </c>
      <c r="K382" s="58" t="n">
        <v>5</v>
      </c>
      <c r="L382" s="58" t="n">
        <v>11</v>
      </c>
      <c r="M382" s="58" t="n">
        <v>6</v>
      </c>
      <c r="N382" s="58" t="n">
        <v>5</v>
      </c>
      <c r="O382" s="59" t="n">
        <v>11</v>
      </c>
      <c r="P382" s="52" t="n">
        <f aca="false">+(N382-M382)/O382</f>
        <v>-0.0909090909090909</v>
      </c>
      <c r="Q382" s="2" t="n">
        <v>0</v>
      </c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109" t="s">
        <v>46</v>
      </c>
      <c r="B383" s="109"/>
      <c r="C383" s="109"/>
      <c r="D383" s="44" t="n">
        <f aca="false">SUM(D378:D382)</f>
        <v>0</v>
      </c>
      <c r="E383" s="44" t="n">
        <f aca="false">SUM(E378:E382)</f>
        <v>0</v>
      </c>
      <c r="F383" s="44" t="n">
        <f aca="false">SUM(F378:F382)</f>
        <v>0</v>
      </c>
      <c r="G383" s="44" t="n">
        <f aca="false">SUM(G378:G382)</f>
        <v>0</v>
      </c>
      <c r="H383" s="44" t="n">
        <f aca="false">SUM(H378:H382)</f>
        <v>0</v>
      </c>
      <c r="I383" s="44" t="n">
        <f aca="false">SUM(I378:I382)</f>
        <v>0</v>
      </c>
      <c r="J383" s="44" t="n">
        <f aca="false">SUM(J378:J382)</f>
        <v>34</v>
      </c>
      <c r="K383" s="44" t="n">
        <f aca="false">SUM(K378:K382)</f>
        <v>54</v>
      </c>
      <c r="L383" s="44" t="n">
        <f aca="false">SUM(L378:L382)</f>
        <v>88</v>
      </c>
      <c r="M383" s="44" t="n">
        <f aca="false">SUM(M378:M382)</f>
        <v>34</v>
      </c>
      <c r="N383" s="44" t="n">
        <f aca="false">SUM(N378:N382)</f>
        <v>54</v>
      </c>
      <c r="O383" s="45" t="n">
        <f aca="false">SUM(O378:O382)</f>
        <v>88</v>
      </c>
      <c r="P383" s="52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25.5" hidden="false" customHeight="true" outlineLevel="0" collapsed="false">
      <c r="A384" s="112"/>
      <c r="B384" s="112"/>
      <c r="C384" s="11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2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78" t="s">
        <v>76</v>
      </c>
      <c r="B385" s="69"/>
      <c r="C385" s="69"/>
      <c r="D385" s="44" t="s">
        <v>23</v>
      </c>
      <c r="E385" s="44" t="s">
        <v>24</v>
      </c>
      <c r="F385" s="44" t="s">
        <v>25</v>
      </c>
      <c r="G385" s="44" t="s">
        <v>23</v>
      </c>
      <c r="H385" s="44" t="s">
        <v>24</v>
      </c>
      <c r="I385" s="44" t="s">
        <v>25</v>
      </c>
      <c r="J385" s="44" t="s">
        <v>23</v>
      </c>
      <c r="K385" s="44" t="s">
        <v>24</v>
      </c>
      <c r="L385" s="44" t="s">
        <v>25</v>
      </c>
      <c r="M385" s="44" t="s">
        <v>23</v>
      </c>
      <c r="N385" s="44" t="s">
        <v>24</v>
      </c>
      <c r="O385" s="45" t="s">
        <v>25</v>
      </c>
      <c r="P385" s="52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106" t="s">
        <v>264</v>
      </c>
      <c r="B386" s="130" t="s">
        <v>265</v>
      </c>
      <c r="C386" s="58" t="s">
        <v>111</v>
      </c>
      <c r="D386" s="165" t="n">
        <v>0</v>
      </c>
      <c r="E386" s="165" t="n">
        <v>0</v>
      </c>
      <c r="F386" s="165" t="n">
        <v>0</v>
      </c>
      <c r="G386" s="165" t="n">
        <v>0</v>
      </c>
      <c r="H386" s="165" t="n">
        <v>0</v>
      </c>
      <c r="I386" s="165" t="n">
        <v>0</v>
      </c>
      <c r="J386" s="165" t="n">
        <v>6</v>
      </c>
      <c r="K386" s="165" t="n">
        <v>3</v>
      </c>
      <c r="L386" s="165" t="n">
        <v>9</v>
      </c>
      <c r="M386" s="58" t="n">
        <v>6</v>
      </c>
      <c r="N386" s="58" t="n">
        <v>3</v>
      </c>
      <c r="O386" s="59" t="n">
        <v>9</v>
      </c>
      <c r="P386" s="52" t="n">
        <f aca="false">+(N386-M386)/O386</f>
        <v>-0.333333333333333</v>
      </c>
      <c r="Q386" s="2" t="n">
        <v>0</v>
      </c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104" t="s">
        <v>266</v>
      </c>
      <c r="B387" s="63" t="s">
        <v>267</v>
      </c>
      <c r="C387" s="50" t="s">
        <v>111</v>
      </c>
      <c r="D387" s="122" t="n">
        <v>0</v>
      </c>
      <c r="E387" s="122" t="n">
        <v>0</v>
      </c>
      <c r="F387" s="122" t="n">
        <v>0</v>
      </c>
      <c r="G387" s="122" t="n">
        <v>0</v>
      </c>
      <c r="H387" s="122" t="n">
        <v>0</v>
      </c>
      <c r="I387" s="122" t="n">
        <v>0</v>
      </c>
      <c r="J387" s="122" t="n">
        <v>1</v>
      </c>
      <c r="K387" s="122" t="n">
        <v>5</v>
      </c>
      <c r="L387" s="122" t="n">
        <v>6</v>
      </c>
      <c r="M387" s="122" t="n">
        <v>1</v>
      </c>
      <c r="N387" s="122" t="n">
        <v>5</v>
      </c>
      <c r="O387" s="223" t="n">
        <v>6</v>
      </c>
      <c r="P387" s="52" t="n">
        <f aca="false">+(N387-M387)/O387</f>
        <v>0.666666666666667</v>
      </c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224" t="s">
        <v>46</v>
      </c>
      <c r="B388" s="224"/>
      <c r="C388" s="224"/>
      <c r="D388" s="133" t="n">
        <f aca="false">SUM(D386:D387)</f>
        <v>0</v>
      </c>
      <c r="E388" s="133" t="n">
        <f aca="false">SUM(E386:E387)</f>
        <v>0</v>
      </c>
      <c r="F388" s="133" t="n">
        <f aca="false">SUM(F386:F387)</f>
        <v>0</v>
      </c>
      <c r="G388" s="133" t="n">
        <f aca="false">SUM(G386:G387)</f>
        <v>0</v>
      </c>
      <c r="H388" s="133" t="n">
        <f aca="false">SUM(H386:H387)</f>
        <v>0</v>
      </c>
      <c r="I388" s="133" t="n">
        <f aca="false">SUM(I386:I387)</f>
        <v>0</v>
      </c>
      <c r="J388" s="133" t="n">
        <f aca="false">SUM(J386:J387)</f>
        <v>7</v>
      </c>
      <c r="K388" s="133" t="n">
        <f aca="false">SUM(K386:K387)</f>
        <v>8</v>
      </c>
      <c r="L388" s="133" t="n">
        <f aca="false">SUM(L386:L387)</f>
        <v>15</v>
      </c>
      <c r="M388" s="133" t="n">
        <f aca="false">SUM(M386:M387)</f>
        <v>7</v>
      </c>
      <c r="N388" s="133" t="n">
        <f aca="false">SUM(N386:N387)</f>
        <v>8</v>
      </c>
      <c r="O388" s="225" t="n">
        <f aca="false">SUM(O386:O387)</f>
        <v>15</v>
      </c>
      <c r="P388" s="52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30" hidden="false" customHeight="true" outlineLevel="0" collapsed="false">
      <c r="A389" s="111" t="s">
        <v>77</v>
      </c>
      <c r="B389" s="111"/>
      <c r="C389" s="111"/>
      <c r="D389" s="44" t="n">
        <f aca="false">SUM(D383+D388+D368+D374)</f>
        <v>0</v>
      </c>
      <c r="E389" s="44" t="n">
        <f aca="false">SUM(E383+E388+E368+E374)</f>
        <v>0</v>
      </c>
      <c r="F389" s="44" t="n">
        <f aca="false">SUM(F383+F388+F368+F374)</f>
        <v>0</v>
      </c>
      <c r="G389" s="44" t="n">
        <f aca="false">SUM(G383+G388+G368+G374)</f>
        <v>0</v>
      </c>
      <c r="H389" s="44" t="n">
        <f aca="false">SUM(H383+H388+H368+H374)</f>
        <v>0</v>
      </c>
      <c r="I389" s="44" t="n">
        <f aca="false">SUM(I383+I388+I368+I374)</f>
        <v>0</v>
      </c>
      <c r="J389" s="44" t="n">
        <f aca="false">SUM(J383+J388+J368+J374)</f>
        <v>58</v>
      </c>
      <c r="K389" s="44" t="n">
        <f aca="false">SUM(K383+K388+K368+K374)</f>
        <v>90</v>
      </c>
      <c r="L389" s="44" t="n">
        <f aca="false">SUM(L383+L388+L368+L374)</f>
        <v>148</v>
      </c>
      <c r="M389" s="44" t="n">
        <f aca="false">SUM(M383+M388+M368+M374)</f>
        <v>58</v>
      </c>
      <c r="N389" s="44" t="n">
        <f aca="false">SUM(N383+N388+N368+N374)</f>
        <v>90</v>
      </c>
      <c r="O389" s="44" t="n">
        <f aca="false">SUM(O383+O388+O368+O374)</f>
        <v>148</v>
      </c>
      <c r="P389" s="52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30" hidden="false" customHeight="true" outlineLevel="0" collapsed="false">
      <c r="A390" s="34" t="s">
        <v>184</v>
      </c>
      <c r="B390" s="34"/>
      <c r="C390" s="34"/>
      <c r="D390" s="34"/>
      <c r="E390" s="34"/>
      <c r="F390" s="34"/>
      <c r="G390" s="5"/>
      <c r="H390" s="5"/>
      <c r="I390" s="5"/>
      <c r="J390" s="5"/>
      <c r="K390" s="5"/>
      <c r="L390" s="5"/>
      <c r="M390" s="5"/>
      <c r="N390" s="5"/>
      <c r="O390" s="5"/>
      <c r="P390" s="52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30" hidden="false" customHeight="true" outlineLevel="0" collapsed="false">
      <c r="A391" s="68" t="s">
        <v>108</v>
      </c>
      <c r="B391" s="38" t="s">
        <v>16</v>
      </c>
      <c r="C391" s="170" t="s">
        <v>17</v>
      </c>
      <c r="D391" s="38" t="s">
        <v>18</v>
      </c>
      <c r="E391" s="38"/>
      <c r="F391" s="38"/>
      <c r="G391" s="38" t="s">
        <v>19</v>
      </c>
      <c r="H391" s="38"/>
      <c r="I391" s="38"/>
      <c r="J391" s="38" t="s">
        <v>20</v>
      </c>
      <c r="K391" s="38"/>
      <c r="L391" s="38"/>
      <c r="M391" s="38" t="s">
        <v>21</v>
      </c>
      <c r="N391" s="38"/>
      <c r="O391" s="38"/>
      <c r="P391" s="52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30" hidden="false" customHeight="true" outlineLevel="0" collapsed="false">
      <c r="A392" s="78" t="s">
        <v>76</v>
      </c>
      <c r="B392" s="69"/>
      <c r="C392" s="69"/>
      <c r="D392" s="44" t="s">
        <v>23</v>
      </c>
      <c r="E392" s="44" t="s">
        <v>24</v>
      </c>
      <c r="F392" s="44" t="s">
        <v>25</v>
      </c>
      <c r="G392" s="44" t="s">
        <v>23</v>
      </c>
      <c r="H392" s="44" t="s">
        <v>24</v>
      </c>
      <c r="I392" s="44" t="s">
        <v>25</v>
      </c>
      <c r="J392" s="44" t="s">
        <v>23</v>
      </c>
      <c r="K392" s="44" t="s">
        <v>24</v>
      </c>
      <c r="L392" s="44" t="s">
        <v>25</v>
      </c>
      <c r="M392" s="44" t="s">
        <v>23</v>
      </c>
      <c r="N392" s="44" t="s">
        <v>24</v>
      </c>
      <c r="O392" s="45" t="s">
        <v>25</v>
      </c>
      <c r="P392" s="52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23.25" hidden="false" customHeight="true" outlineLevel="0" collapsed="false">
      <c r="A393" s="226" t="s">
        <v>268</v>
      </c>
      <c r="B393" s="227" t="s">
        <v>189</v>
      </c>
      <c r="C393" s="228" t="s">
        <v>187</v>
      </c>
      <c r="D393" s="228" t="n">
        <v>0</v>
      </c>
      <c r="E393" s="228" t="n">
        <v>0</v>
      </c>
      <c r="F393" s="228" t="n">
        <v>0</v>
      </c>
      <c r="G393" s="229" t="n">
        <v>0</v>
      </c>
      <c r="H393" s="228" t="n">
        <v>0</v>
      </c>
      <c r="I393" s="228" t="n">
        <v>0</v>
      </c>
      <c r="J393" s="44" t="n">
        <v>3</v>
      </c>
      <c r="K393" s="44" t="n">
        <v>6</v>
      </c>
      <c r="L393" s="44" t="n">
        <v>9</v>
      </c>
      <c r="M393" s="44" t="n">
        <v>3</v>
      </c>
      <c r="N393" s="44" t="n">
        <v>6</v>
      </c>
      <c r="O393" s="217" t="n">
        <v>9</v>
      </c>
      <c r="P393" s="52" t="n">
        <f aca="false">+(N393-M393)/O393</f>
        <v>0.333333333333333</v>
      </c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20.25" hidden="false" customHeight="true" outlineLevel="0" collapsed="false">
      <c r="A394" s="109" t="s">
        <v>46</v>
      </c>
      <c r="B394" s="109"/>
      <c r="C394" s="109"/>
      <c r="D394" s="44" t="n">
        <f aca="false">SUM(D393)</f>
        <v>0</v>
      </c>
      <c r="E394" s="44" t="n">
        <f aca="false">SUM(E393)</f>
        <v>0</v>
      </c>
      <c r="F394" s="44" t="n">
        <f aca="false">SUM(F393)</f>
        <v>0</v>
      </c>
      <c r="G394" s="44" t="n">
        <f aca="false">SUM(G393)</f>
        <v>0</v>
      </c>
      <c r="H394" s="44" t="n">
        <f aca="false">SUM(H393)</f>
        <v>0</v>
      </c>
      <c r="I394" s="44" t="n">
        <f aca="false">SUM(I393)</f>
        <v>0</v>
      </c>
      <c r="J394" s="44" t="n">
        <v>3</v>
      </c>
      <c r="K394" s="44" t="n">
        <v>6</v>
      </c>
      <c r="L394" s="44" t="n">
        <v>9</v>
      </c>
      <c r="M394" s="44" t="n">
        <v>3</v>
      </c>
      <c r="N394" s="44" t="n">
        <v>6</v>
      </c>
      <c r="O394" s="217" t="n">
        <v>9</v>
      </c>
      <c r="P394" s="52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27" hidden="false" customHeight="true" outlineLevel="0" collapsed="false">
      <c r="A395" s="111" t="s">
        <v>77</v>
      </c>
      <c r="B395" s="111"/>
      <c r="C395" s="111"/>
      <c r="D395" s="44" t="n">
        <f aca="false">SUM(D389+D394+D382)</f>
        <v>0</v>
      </c>
      <c r="E395" s="44" t="n">
        <f aca="false">SUM(E389+E394+E382)</f>
        <v>0</v>
      </c>
      <c r="F395" s="44" t="n">
        <f aca="false">SUM(F389+F394+F382)</f>
        <v>0</v>
      </c>
      <c r="G395" s="44" t="n">
        <f aca="false">SUM(G389+G394+G382)</f>
        <v>0</v>
      </c>
      <c r="H395" s="44" t="n">
        <f aca="false">SUM(H389+H394+H382)</f>
        <v>0</v>
      </c>
      <c r="I395" s="44" t="n">
        <f aca="false">SUM(I389+I394+I382)</f>
        <v>0</v>
      </c>
      <c r="J395" s="44" t="n">
        <v>3</v>
      </c>
      <c r="K395" s="44" t="n">
        <v>6</v>
      </c>
      <c r="L395" s="44" t="n">
        <v>9</v>
      </c>
      <c r="M395" s="44" t="n">
        <v>3</v>
      </c>
      <c r="N395" s="44" t="n">
        <v>6</v>
      </c>
      <c r="O395" s="44" t="n">
        <v>9</v>
      </c>
      <c r="P395" s="52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30" hidden="false" customHeight="true" outlineLevel="0" collapsed="false">
      <c r="A396" s="112"/>
      <c r="B396" s="112"/>
      <c r="C396" s="11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2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26.25" hidden="false" customHeight="true" outlineLevel="0" collapsed="false">
      <c r="A397" s="34" t="s">
        <v>210</v>
      </c>
      <c r="B397" s="34"/>
      <c r="C397" s="34"/>
      <c r="D397" s="34"/>
      <c r="E397" s="34"/>
      <c r="F397" s="34"/>
      <c r="G397" s="35" t="s">
        <v>13</v>
      </c>
      <c r="H397" s="35"/>
      <c r="I397" s="35"/>
      <c r="J397" s="35"/>
      <c r="K397" s="35"/>
      <c r="L397" s="35"/>
      <c r="M397" s="35"/>
      <c r="N397" s="35"/>
      <c r="O397" s="35"/>
      <c r="P397" s="52"/>
    </row>
    <row r="398" customFormat="false" ht="24" hidden="false" customHeight="true" outlineLevel="0" collapsed="false">
      <c r="A398" s="68" t="s">
        <v>108</v>
      </c>
      <c r="B398" s="38" t="s">
        <v>16</v>
      </c>
      <c r="C398" s="170" t="s">
        <v>17</v>
      </c>
      <c r="D398" s="38" t="s">
        <v>18</v>
      </c>
      <c r="E398" s="38"/>
      <c r="F398" s="38"/>
      <c r="G398" s="38" t="s">
        <v>19</v>
      </c>
      <c r="H398" s="38"/>
      <c r="I398" s="38"/>
      <c r="J398" s="38" t="s">
        <v>20</v>
      </c>
      <c r="K398" s="38"/>
      <c r="L398" s="38"/>
      <c r="M398" s="38" t="s">
        <v>21</v>
      </c>
      <c r="N398" s="38"/>
      <c r="O398" s="38"/>
      <c r="P398" s="52"/>
    </row>
    <row r="399" customFormat="false" ht="24" hidden="false" customHeight="true" outlineLevel="0" collapsed="false">
      <c r="A399" s="68" t="s">
        <v>72</v>
      </c>
      <c r="B399" s="230"/>
      <c r="C399" s="231"/>
      <c r="D399" s="44" t="s">
        <v>23</v>
      </c>
      <c r="E399" s="44" t="s">
        <v>24</v>
      </c>
      <c r="F399" s="44" t="s">
        <v>25</v>
      </c>
      <c r="G399" s="44" t="s">
        <v>23</v>
      </c>
      <c r="H399" s="44" t="s">
        <v>24</v>
      </c>
      <c r="I399" s="44" t="s">
        <v>25</v>
      </c>
      <c r="J399" s="44" t="s">
        <v>23</v>
      </c>
      <c r="K399" s="44" t="s">
        <v>24</v>
      </c>
      <c r="L399" s="44" t="s">
        <v>25</v>
      </c>
      <c r="M399" s="44" t="s">
        <v>23</v>
      </c>
      <c r="N399" s="44" t="s">
        <v>24</v>
      </c>
      <c r="O399" s="45" t="s">
        <v>25</v>
      </c>
      <c r="P399" s="52"/>
    </row>
    <row r="400" customFormat="false" ht="24" hidden="false" customHeight="true" outlineLevel="0" collapsed="false">
      <c r="A400" s="232" t="s">
        <v>269</v>
      </c>
      <c r="B400" s="192" t="s">
        <v>240</v>
      </c>
      <c r="C400" s="122" t="s">
        <v>212</v>
      </c>
      <c r="D400" s="122" t="n">
        <v>0</v>
      </c>
      <c r="E400" s="122" t="n">
        <v>0</v>
      </c>
      <c r="F400" s="122" t="n">
        <v>0</v>
      </c>
      <c r="G400" s="122" t="n">
        <v>0</v>
      </c>
      <c r="H400" s="122" t="n">
        <v>0</v>
      </c>
      <c r="I400" s="122" t="n">
        <v>0</v>
      </c>
      <c r="J400" s="186" t="n">
        <v>3</v>
      </c>
      <c r="K400" s="186" t="n">
        <v>3</v>
      </c>
      <c r="L400" s="186" t="n">
        <v>6</v>
      </c>
      <c r="M400" s="186" t="n">
        <v>3</v>
      </c>
      <c r="N400" s="186" t="n">
        <v>3</v>
      </c>
      <c r="O400" s="186" t="n">
        <v>6</v>
      </c>
      <c r="P400" s="52" t="n">
        <f aca="false">+(N400-M400)/O400</f>
        <v>0</v>
      </c>
    </row>
    <row r="401" customFormat="false" ht="24" hidden="false" customHeight="true" outlineLevel="0" collapsed="false">
      <c r="A401" s="109" t="s">
        <v>46</v>
      </c>
      <c r="B401" s="109"/>
      <c r="C401" s="109"/>
      <c r="D401" s="44" t="n">
        <v>0</v>
      </c>
      <c r="E401" s="44" t="n">
        <v>0</v>
      </c>
      <c r="F401" s="44" t="n">
        <v>0</v>
      </c>
      <c r="G401" s="44" t="n">
        <v>0</v>
      </c>
      <c r="H401" s="44" t="n">
        <v>0</v>
      </c>
      <c r="I401" s="44" t="n">
        <v>0</v>
      </c>
      <c r="J401" s="44" t="n">
        <v>3</v>
      </c>
      <c r="K401" s="44" t="n">
        <v>3</v>
      </c>
      <c r="L401" s="44" t="n">
        <v>6</v>
      </c>
      <c r="M401" s="44" t="n">
        <v>3</v>
      </c>
      <c r="N401" s="44" t="n">
        <v>3</v>
      </c>
      <c r="O401" s="45" t="n">
        <v>6</v>
      </c>
      <c r="P401" s="52"/>
    </row>
    <row r="402" customFormat="false" ht="24" hidden="false" customHeight="true" outlineLevel="0" collapsed="false">
      <c r="A402" s="233"/>
      <c r="B402" s="234"/>
      <c r="C402" s="23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235"/>
      <c r="P402" s="52"/>
    </row>
    <row r="403" customFormat="false" ht="21.75" hidden="false" customHeight="true" outlineLevel="0" collapsed="false">
      <c r="A403" s="78" t="s">
        <v>76</v>
      </c>
      <c r="B403" s="69"/>
      <c r="C403" s="69"/>
      <c r="D403" s="44" t="s">
        <v>23</v>
      </c>
      <c r="E403" s="44" t="s">
        <v>24</v>
      </c>
      <c r="F403" s="44" t="s">
        <v>25</v>
      </c>
      <c r="G403" s="44" t="s">
        <v>23</v>
      </c>
      <c r="H403" s="44" t="s">
        <v>24</v>
      </c>
      <c r="I403" s="44" t="s">
        <v>25</v>
      </c>
      <c r="J403" s="44" t="s">
        <v>23</v>
      </c>
      <c r="K403" s="44" t="s">
        <v>24</v>
      </c>
      <c r="L403" s="44" t="s">
        <v>25</v>
      </c>
      <c r="M403" s="44" t="s">
        <v>23</v>
      </c>
      <c r="N403" s="44" t="s">
        <v>24</v>
      </c>
      <c r="O403" s="45" t="s">
        <v>25</v>
      </c>
      <c r="P403" s="52"/>
    </row>
    <row r="404" customFormat="false" ht="27.75" hidden="false" customHeight="true" outlineLevel="0" collapsed="false">
      <c r="A404" s="236" t="s">
        <v>270</v>
      </c>
      <c r="B404" s="237" t="s">
        <v>271</v>
      </c>
      <c r="C404" s="199" t="s">
        <v>212</v>
      </c>
      <c r="D404" s="165" t="n">
        <v>0</v>
      </c>
      <c r="E404" s="165" t="n">
        <v>0</v>
      </c>
      <c r="F404" s="165" t="n">
        <v>0</v>
      </c>
      <c r="G404" s="108" t="n">
        <v>0</v>
      </c>
      <c r="H404" s="108" t="n">
        <v>0</v>
      </c>
      <c r="I404" s="108" t="n">
        <v>0</v>
      </c>
      <c r="J404" s="108" t="n">
        <v>11</v>
      </c>
      <c r="K404" s="108" t="n">
        <v>5</v>
      </c>
      <c r="L404" s="108" t="n">
        <v>16</v>
      </c>
      <c r="M404" s="58" t="n">
        <v>11</v>
      </c>
      <c r="N404" s="58" t="n">
        <v>5</v>
      </c>
      <c r="O404" s="59" t="n">
        <v>16</v>
      </c>
      <c r="P404" s="52" t="n">
        <f aca="false">+(N404-M404)/O404</f>
        <v>-0.375</v>
      </c>
      <c r="Q404" s="2" t="n">
        <v>0</v>
      </c>
    </row>
    <row r="405" customFormat="false" ht="15.75" hidden="false" customHeight="true" outlineLevel="0" collapsed="false">
      <c r="A405" s="109" t="s">
        <v>46</v>
      </c>
      <c r="B405" s="109"/>
      <c r="C405" s="109"/>
      <c r="D405" s="44" t="n">
        <f aca="false">D404</f>
        <v>0</v>
      </c>
      <c r="E405" s="44" t="n">
        <f aca="false">E404</f>
        <v>0</v>
      </c>
      <c r="F405" s="44" t="n">
        <f aca="false">F404</f>
        <v>0</v>
      </c>
      <c r="G405" s="44" t="n">
        <f aca="false">G404</f>
        <v>0</v>
      </c>
      <c r="H405" s="44" t="n">
        <f aca="false">H404</f>
        <v>0</v>
      </c>
      <c r="I405" s="44" t="n">
        <f aca="false">I404</f>
        <v>0</v>
      </c>
      <c r="J405" s="44" t="n">
        <f aca="false">J404</f>
        <v>11</v>
      </c>
      <c r="K405" s="44" t="n">
        <f aca="false">K404</f>
        <v>5</v>
      </c>
      <c r="L405" s="44" t="n">
        <f aca="false">L404</f>
        <v>16</v>
      </c>
      <c r="M405" s="44" t="n">
        <f aca="false">M404</f>
        <v>11</v>
      </c>
      <c r="N405" s="44" t="n">
        <f aca="false">N404</f>
        <v>5</v>
      </c>
      <c r="O405" s="45" t="n">
        <f aca="false">O404</f>
        <v>16</v>
      </c>
      <c r="P405" s="52"/>
    </row>
    <row r="406" customFormat="false" ht="24" hidden="false" customHeight="true" outlineLevel="0" collapsed="false">
      <c r="A406" s="111" t="s">
        <v>77</v>
      </c>
      <c r="B406" s="111"/>
      <c r="C406" s="111"/>
      <c r="D406" s="44" t="n">
        <f aca="false">D401+D405</f>
        <v>0</v>
      </c>
      <c r="E406" s="44" t="n">
        <f aca="false">E401+E405</f>
        <v>0</v>
      </c>
      <c r="F406" s="44" t="n">
        <f aca="false">F401+F405</f>
        <v>0</v>
      </c>
      <c r="G406" s="44" t="n">
        <f aca="false">G401+G405</f>
        <v>0</v>
      </c>
      <c r="H406" s="44" t="n">
        <f aca="false">H401+H405</f>
        <v>0</v>
      </c>
      <c r="I406" s="44" t="n">
        <f aca="false">I401+I405</f>
        <v>0</v>
      </c>
      <c r="J406" s="44" t="n">
        <f aca="false">J401+J405</f>
        <v>14</v>
      </c>
      <c r="K406" s="44" t="n">
        <f aca="false">K401+K405</f>
        <v>8</v>
      </c>
      <c r="L406" s="44" t="n">
        <f aca="false">L401+L405</f>
        <v>22</v>
      </c>
      <c r="M406" s="44" t="n">
        <f aca="false">M401+M405</f>
        <v>14</v>
      </c>
      <c r="N406" s="44" t="n">
        <f aca="false">N401+N405</f>
        <v>8</v>
      </c>
      <c r="O406" s="44" t="n">
        <f aca="false">O401+O405</f>
        <v>22</v>
      </c>
      <c r="P406" s="52"/>
    </row>
    <row r="407" customFormat="false" ht="28.5" hidden="false" customHeight="true" outlineLevel="0" collapsed="false">
      <c r="A407" s="67"/>
      <c r="B407" s="67"/>
      <c r="C407" s="67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52"/>
    </row>
    <row r="408" customFormat="false" ht="23.25" hidden="false" customHeight="true" outlineLevel="0" collapsed="false">
      <c r="A408" s="206" t="s">
        <v>272</v>
      </c>
      <c r="B408" s="206"/>
      <c r="C408" s="206"/>
      <c r="D408" s="238" t="n">
        <f aca="false">SUM(D351+D362+D389+D395+D406)</f>
        <v>0</v>
      </c>
      <c r="E408" s="238" t="n">
        <f aca="false">SUM(E351+E362+E389+E395+E406)</f>
        <v>0</v>
      </c>
      <c r="F408" s="238" t="n">
        <f aca="false">SUM(F351+F362+F389+F395+F406)</f>
        <v>0</v>
      </c>
      <c r="G408" s="238" t="n">
        <f aca="false">SUM(G351+G362+G389+G395+G406)</f>
        <v>0</v>
      </c>
      <c r="H408" s="238" t="n">
        <f aca="false">SUM(H351+H362+H389+H395+H406)</f>
        <v>0</v>
      </c>
      <c r="I408" s="238" t="n">
        <f aca="false">SUM(I351+I362+I389+I395+I406)</f>
        <v>0</v>
      </c>
      <c r="J408" s="238" t="n">
        <f aca="false">SUM(J351+J362+J389+J395+J406)</f>
        <v>200</v>
      </c>
      <c r="K408" s="238" t="n">
        <f aca="false">SUM(K351+K362+K389+K395+K406)</f>
        <v>292</v>
      </c>
      <c r="L408" s="238" t="n">
        <f aca="false">SUM(L351+L362+L389+L395+L406)</f>
        <v>492</v>
      </c>
      <c r="M408" s="238" t="n">
        <f aca="false">SUM(M351+M362+M389+M395+M406)</f>
        <v>200</v>
      </c>
      <c r="N408" s="238" t="n">
        <f aca="false">SUM(N351+N362+N389+N395+N406)</f>
        <v>292</v>
      </c>
      <c r="O408" s="238" t="n">
        <f aca="false">SUM(O351+O362+O389+O395+O406)</f>
        <v>492</v>
      </c>
      <c r="P408" s="52" t="n">
        <f aca="false">+(N408-M408)/O408</f>
        <v>0.186991869918699</v>
      </c>
      <c r="Q408" s="5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customFormat="false" ht="24.75" hidden="false" customHeight="true" outlineLevel="0" collapsed="false">
      <c r="A409" s="208"/>
      <c r="B409" s="208"/>
      <c r="C409" s="208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52"/>
    </row>
    <row r="410" customFormat="false" ht="24.75" hidden="false" customHeight="true" outlineLevel="0" collapsed="false">
      <c r="A410" s="241" t="s">
        <v>273</v>
      </c>
      <c r="B410" s="241"/>
      <c r="C410" s="241"/>
      <c r="D410" s="242" t="n">
        <f aca="false">SUM(D336+D408)</f>
        <v>26</v>
      </c>
      <c r="E410" s="242" t="n">
        <f aca="false">SUM(E336+E408)</f>
        <v>35</v>
      </c>
      <c r="F410" s="242" t="n">
        <f aca="false">SUM(F336+F408)</f>
        <v>61</v>
      </c>
      <c r="G410" s="242" t="n">
        <f aca="false">SUM(G336+G408)</f>
        <v>26</v>
      </c>
      <c r="H410" s="242" t="n">
        <f aca="false">SUM(H336+H408)</f>
        <v>35</v>
      </c>
      <c r="I410" s="242" t="n">
        <f aca="false">SUM(I336+I408)</f>
        <v>61</v>
      </c>
      <c r="J410" s="242" t="n">
        <f aca="false">SUM(J336+J408)</f>
        <v>12588</v>
      </c>
      <c r="K410" s="242" t="n">
        <f aca="false">SUM(K336+K408)</f>
        <v>15855</v>
      </c>
      <c r="L410" s="242" t="n">
        <f aca="false">SUM(L336+L408)</f>
        <v>28443</v>
      </c>
      <c r="M410" s="242" t="n">
        <f aca="false">SUM(M336+M408)</f>
        <v>12613</v>
      </c>
      <c r="N410" s="242" t="n">
        <f aca="false">SUM(N336+N408)</f>
        <v>15891</v>
      </c>
      <c r="O410" s="242" t="n">
        <f aca="false">SUM(O336+O408)</f>
        <v>28504</v>
      </c>
      <c r="P410" s="52" t="n">
        <f aca="false">+(N410-M410)/O410</f>
        <v>0.115001403311816</v>
      </c>
      <c r="Q410" s="5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customFormat="false" ht="15.75" hidden="false" customHeight="true" outlineLevel="0" collapsed="false">
      <c r="A411" s="95" t="s">
        <v>70</v>
      </c>
      <c r="B411" s="96"/>
      <c r="C411" s="96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1"/>
      <c r="P411" s="52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110" t="s">
        <v>71</v>
      </c>
      <c r="B412" s="72"/>
      <c r="C412" s="72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4"/>
      <c r="P412" s="52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109" t="s">
        <v>46</v>
      </c>
      <c r="B413" s="109"/>
      <c r="C413" s="109"/>
      <c r="D413" s="44" t="n">
        <v>0</v>
      </c>
      <c r="E413" s="44" t="n">
        <v>0</v>
      </c>
      <c r="F413" s="44" t="n">
        <v>0</v>
      </c>
      <c r="G413" s="44" t="n">
        <v>0</v>
      </c>
      <c r="H413" s="44" t="n">
        <v>0</v>
      </c>
      <c r="I413" s="44" t="n">
        <v>0</v>
      </c>
      <c r="J413" s="44" t="n">
        <v>0</v>
      </c>
      <c r="K413" s="44" t="n">
        <v>0</v>
      </c>
      <c r="L413" s="44" t="n">
        <v>0</v>
      </c>
      <c r="M413" s="44" t="n">
        <v>0</v>
      </c>
      <c r="N413" s="44" t="n">
        <v>0</v>
      </c>
      <c r="O413" s="45" t="n">
        <v>0</v>
      </c>
      <c r="P413" s="52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111" t="s">
        <v>77</v>
      </c>
      <c r="B414" s="111"/>
      <c r="C414" s="111"/>
      <c r="D414" s="44" t="n">
        <f aca="false">SUM(D35+D56+D68)</f>
        <v>0</v>
      </c>
      <c r="E414" s="44" t="n">
        <f aca="false">SUM(E35+E56+E68)</f>
        <v>0</v>
      </c>
      <c r="F414" s="44" t="n">
        <f aca="false">SUM(F35+F56+F68)</f>
        <v>0</v>
      </c>
      <c r="G414" s="44" t="n">
        <f aca="false">SUM(G35+G56+G68)</f>
        <v>0</v>
      </c>
      <c r="H414" s="44" t="n">
        <f aca="false">SUM(H35+H56+H68)</f>
        <v>0</v>
      </c>
      <c r="I414" s="44" t="n">
        <f aca="false">SUM(I35+I56+I68)</f>
        <v>0</v>
      </c>
      <c r="J414" s="44" t="n">
        <f aca="false">SUM(J35+J56+J68)</f>
        <v>2168</v>
      </c>
      <c r="K414" s="44" t="n">
        <f aca="false">SUM(K35+K56+K68)</f>
        <v>2837</v>
      </c>
      <c r="L414" s="44" t="n">
        <f aca="false">SUM(L35+L56+L68)</f>
        <v>5005</v>
      </c>
      <c r="M414" s="44" t="n">
        <f aca="false">SUM(M35+M56+M68)</f>
        <v>2168</v>
      </c>
      <c r="N414" s="44" t="n">
        <f aca="false">SUM(N35+N56+N68)</f>
        <v>2837</v>
      </c>
      <c r="O414" s="45" t="n">
        <f aca="false">SUM(O35+O56+O68)</f>
        <v>5005</v>
      </c>
      <c r="P414" s="52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36" hidden="false" customHeight="true" outlineLevel="0" collapsed="false">
      <c r="A415" s="112"/>
      <c r="B415" s="112"/>
      <c r="C415" s="11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2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113" t="s">
        <v>78</v>
      </c>
      <c r="B416" s="113"/>
      <c r="C416" s="113"/>
      <c r="D416" s="113"/>
      <c r="E416" s="113"/>
      <c r="F416" s="113"/>
      <c r="G416" s="35" t="s">
        <v>13</v>
      </c>
      <c r="H416" s="35"/>
      <c r="I416" s="35"/>
      <c r="J416" s="35"/>
      <c r="K416" s="35"/>
      <c r="L416" s="35"/>
      <c r="M416" s="35"/>
      <c r="N416" s="35"/>
      <c r="O416" s="35"/>
      <c r="P416" s="52"/>
    </row>
    <row r="417" customFormat="false" ht="24" hidden="false" customHeight="true" outlineLevel="0" collapsed="false">
      <c r="A417" s="35" t="s">
        <v>15</v>
      </c>
      <c r="B417" s="38" t="s">
        <v>16</v>
      </c>
      <c r="C417" s="38" t="s">
        <v>17</v>
      </c>
      <c r="D417" s="39" t="s">
        <v>18</v>
      </c>
      <c r="E417" s="39"/>
      <c r="F417" s="39"/>
      <c r="G417" s="38" t="s">
        <v>19</v>
      </c>
      <c r="H417" s="38"/>
      <c r="I417" s="38"/>
      <c r="J417" s="38" t="s">
        <v>20</v>
      </c>
      <c r="K417" s="38"/>
      <c r="L417" s="38"/>
      <c r="M417" s="38" t="s">
        <v>21</v>
      </c>
      <c r="N417" s="38"/>
      <c r="O417" s="38"/>
      <c r="P417" s="52"/>
      <c r="R417" s="40"/>
      <c r="S417" s="40"/>
      <c r="T417" s="40"/>
      <c r="U417" s="40"/>
      <c r="V417" s="40"/>
      <c r="W417" s="40"/>
      <c r="X417" s="40"/>
      <c r="Y417" s="40"/>
      <c r="Z417" s="40"/>
    </row>
    <row r="418" customFormat="false" ht="15.75" hidden="false" customHeight="true" outlineLevel="0" collapsed="false">
      <c r="A418" s="41" t="s">
        <v>22</v>
      </c>
      <c r="B418" s="42"/>
      <c r="C418" s="42"/>
      <c r="D418" s="43" t="s">
        <v>23</v>
      </c>
      <c r="E418" s="44" t="s">
        <v>24</v>
      </c>
      <c r="F418" s="45" t="s">
        <v>25</v>
      </c>
      <c r="G418" s="43" t="s">
        <v>23</v>
      </c>
      <c r="H418" s="44" t="s">
        <v>24</v>
      </c>
      <c r="I418" s="45" t="s">
        <v>25</v>
      </c>
      <c r="J418" s="43" t="s">
        <v>23</v>
      </c>
      <c r="K418" s="44" t="s">
        <v>24</v>
      </c>
      <c r="L418" s="45" t="s">
        <v>25</v>
      </c>
      <c r="M418" s="114" t="s">
        <v>23</v>
      </c>
      <c r="N418" s="44" t="s">
        <v>24</v>
      </c>
      <c r="O418" s="45" t="s">
        <v>25</v>
      </c>
      <c r="P418" s="52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7" t="s">
        <v>32</v>
      </c>
      <c r="B419" s="48" t="s">
        <v>79</v>
      </c>
      <c r="C419" s="49" t="s">
        <v>80</v>
      </c>
      <c r="D419" s="50" t="n">
        <v>0</v>
      </c>
      <c r="E419" s="50" t="n">
        <v>0</v>
      </c>
      <c r="F419" s="50" t="n">
        <f aca="false">SUM(D419+E419)</f>
        <v>0</v>
      </c>
      <c r="G419" s="50" t="n">
        <v>0</v>
      </c>
      <c r="H419" s="50" t="n">
        <v>0</v>
      </c>
      <c r="I419" s="50" t="n">
        <v>0</v>
      </c>
      <c r="J419" s="93" t="n">
        <v>217</v>
      </c>
      <c r="K419" s="93" t="n">
        <v>308</v>
      </c>
      <c r="L419" s="93" t="n">
        <v>525</v>
      </c>
      <c r="M419" s="50" t="n">
        <v>217</v>
      </c>
      <c r="N419" s="50" t="n">
        <v>308</v>
      </c>
      <c r="O419" s="51" t="n">
        <v>525</v>
      </c>
      <c r="P419" s="52" t="n">
        <f aca="false">+(N419-M419)/O419</f>
        <v>0.173333333333333</v>
      </c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53" t="s">
        <v>30</v>
      </c>
      <c r="B420" s="54" t="s">
        <v>79</v>
      </c>
      <c r="C420" s="96" t="s">
        <v>80</v>
      </c>
      <c r="D420" s="50" t="n">
        <v>0</v>
      </c>
      <c r="E420" s="50" t="n">
        <v>0</v>
      </c>
      <c r="F420" s="50" t="n">
        <f aca="false">SUM(D420+E420)</f>
        <v>0</v>
      </c>
      <c r="G420" s="50" t="n">
        <v>0</v>
      </c>
      <c r="H420" s="50" t="n">
        <v>0</v>
      </c>
      <c r="I420" s="50" t="n">
        <v>0</v>
      </c>
      <c r="J420" s="50" t="n">
        <v>91</v>
      </c>
      <c r="K420" s="50" t="n">
        <v>141</v>
      </c>
      <c r="L420" s="93" t="n">
        <v>232</v>
      </c>
      <c r="M420" s="50" t="n">
        <v>91</v>
      </c>
      <c r="N420" s="50" t="n">
        <v>141</v>
      </c>
      <c r="O420" s="51" t="n">
        <v>232</v>
      </c>
      <c r="P420" s="52" t="n">
        <f aca="false">+(N420-M420)/O420</f>
        <v>0.21551724137931</v>
      </c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55" t="s">
        <v>31</v>
      </c>
      <c r="B421" s="56" t="s">
        <v>79</v>
      </c>
      <c r="C421" s="115" t="s">
        <v>80</v>
      </c>
      <c r="D421" s="58" t="n">
        <v>0</v>
      </c>
      <c r="E421" s="58" t="n">
        <v>0</v>
      </c>
      <c r="F421" s="58" t="n">
        <f aca="false">SUM(D421+E421)</f>
        <v>0</v>
      </c>
      <c r="G421" s="58" t="n">
        <v>0</v>
      </c>
      <c r="H421" s="58" t="n">
        <v>0</v>
      </c>
      <c r="I421" s="58" t="n">
        <v>0</v>
      </c>
      <c r="J421" s="58" t="n">
        <v>70</v>
      </c>
      <c r="K421" s="58" t="n">
        <v>36</v>
      </c>
      <c r="L421" s="103" t="n">
        <v>106</v>
      </c>
      <c r="M421" s="58" t="n">
        <v>70</v>
      </c>
      <c r="N421" s="58" t="n">
        <v>36</v>
      </c>
      <c r="O421" s="59" t="n">
        <v>106</v>
      </c>
      <c r="P421" s="60" t="n">
        <f aca="false">+(N421-M421)/O421</f>
        <v>-0.320754716981132</v>
      </c>
      <c r="Q421" s="61" t="n">
        <v>1</v>
      </c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55" t="s">
        <v>32</v>
      </c>
      <c r="B422" s="82" t="s">
        <v>81</v>
      </c>
      <c r="C422" s="115" t="s">
        <v>80</v>
      </c>
      <c r="D422" s="58" t="n">
        <v>0</v>
      </c>
      <c r="E422" s="58" t="n">
        <v>0</v>
      </c>
      <c r="F422" s="58" t="n">
        <f aca="false">SUM(D422+E422)</f>
        <v>0</v>
      </c>
      <c r="G422" s="58" t="n">
        <v>0</v>
      </c>
      <c r="H422" s="58" t="n">
        <v>0</v>
      </c>
      <c r="I422" s="58" t="n">
        <v>0</v>
      </c>
      <c r="J422" s="58" t="n">
        <v>101</v>
      </c>
      <c r="K422" s="58" t="n">
        <v>100</v>
      </c>
      <c r="L422" s="103" t="n">
        <v>201</v>
      </c>
      <c r="M422" s="58" t="n">
        <v>101</v>
      </c>
      <c r="N422" s="58" t="n">
        <v>100</v>
      </c>
      <c r="O422" s="59" t="n">
        <v>201</v>
      </c>
      <c r="P422" s="52" t="n">
        <f aca="false">+(N422-M422)/O422</f>
        <v>-0.00497512437810945</v>
      </c>
      <c r="Q422" s="2" t="n">
        <v>0</v>
      </c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116" t="s">
        <v>30</v>
      </c>
      <c r="B423" s="62" t="s">
        <v>81</v>
      </c>
      <c r="C423" s="115" t="s">
        <v>80</v>
      </c>
      <c r="D423" s="58" t="n">
        <v>0</v>
      </c>
      <c r="E423" s="58" t="n">
        <v>0</v>
      </c>
      <c r="F423" s="58" t="n">
        <f aca="false">SUM(D423+E423)</f>
        <v>0</v>
      </c>
      <c r="G423" s="58" t="n">
        <v>0</v>
      </c>
      <c r="H423" s="58" t="n">
        <v>0</v>
      </c>
      <c r="I423" s="58" t="n">
        <v>0</v>
      </c>
      <c r="J423" s="58" t="n">
        <v>40</v>
      </c>
      <c r="K423" s="58" t="n">
        <v>38</v>
      </c>
      <c r="L423" s="103" t="n">
        <v>78</v>
      </c>
      <c r="M423" s="58" t="n">
        <v>40</v>
      </c>
      <c r="N423" s="58" t="n">
        <v>38</v>
      </c>
      <c r="O423" s="59" t="n">
        <v>78</v>
      </c>
      <c r="P423" s="52" t="n">
        <f aca="false">+(N423-M423)/O423</f>
        <v>-0.0256410256410256</v>
      </c>
      <c r="Q423" s="2" t="n">
        <v>0</v>
      </c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117" t="s">
        <v>32</v>
      </c>
      <c r="B424" s="54" t="s">
        <v>82</v>
      </c>
      <c r="C424" s="96" t="s">
        <v>83</v>
      </c>
      <c r="D424" s="50" t="n">
        <v>0</v>
      </c>
      <c r="E424" s="50" t="n">
        <v>0</v>
      </c>
      <c r="F424" s="50" t="n">
        <f aca="false">SUM(D424+E424)</f>
        <v>0</v>
      </c>
      <c r="G424" s="50" t="n">
        <v>0</v>
      </c>
      <c r="H424" s="50" t="n">
        <v>0</v>
      </c>
      <c r="I424" s="50" t="n">
        <v>0</v>
      </c>
      <c r="J424" s="50" t="n">
        <v>74</v>
      </c>
      <c r="K424" s="50" t="n">
        <v>81</v>
      </c>
      <c r="L424" s="93" t="n">
        <v>155</v>
      </c>
      <c r="M424" s="50" t="n">
        <v>74</v>
      </c>
      <c r="N424" s="50" t="n">
        <v>81</v>
      </c>
      <c r="O424" s="51" t="n">
        <v>155</v>
      </c>
      <c r="P424" s="52" t="n">
        <f aca="false">+(N424-M424)/O424</f>
        <v>0.0451612903225806</v>
      </c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117" t="s">
        <v>32</v>
      </c>
      <c r="B425" s="54" t="s">
        <v>84</v>
      </c>
      <c r="C425" s="96" t="s">
        <v>80</v>
      </c>
      <c r="D425" s="50" t="n">
        <v>0</v>
      </c>
      <c r="E425" s="50" t="n">
        <v>0</v>
      </c>
      <c r="F425" s="50" t="n">
        <f aca="false">SUM(D425+E425)</f>
        <v>0</v>
      </c>
      <c r="G425" s="50" t="n">
        <v>0</v>
      </c>
      <c r="H425" s="50" t="n">
        <v>0</v>
      </c>
      <c r="I425" s="50" t="n">
        <v>0</v>
      </c>
      <c r="J425" s="50" t="n">
        <v>39</v>
      </c>
      <c r="K425" s="50" t="n">
        <v>53</v>
      </c>
      <c r="L425" s="93" t="n">
        <v>92</v>
      </c>
      <c r="M425" s="50" t="n">
        <v>39</v>
      </c>
      <c r="N425" s="50" t="n">
        <v>53</v>
      </c>
      <c r="O425" s="51" t="n">
        <v>92</v>
      </c>
      <c r="P425" s="52" t="n">
        <f aca="false">+(N425-M425)/O425</f>
        <v>0.152173913043478</v>
      </c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117" t="s">
        <v>30</v>
      </c>
      <c r="B426" s="48" t="s">
        <v>84</v>
      </c>
      <c r="C426" s="96" t="s">
        <v>80</v>
      </c>
      <c r="D426" s="50" t="n">
        <v>0</v>
      </c>
      <c r="E426" s="50" t="n">
        <v>0</v>
      </c>
      <c r="F426" s="50" t="n">
        <f aca="false">SUM(D426+E426)</f>
        <v>0</v>
      </c>
      <c r="G426" s="50" t="n">
        <v>0</v>
      </c>
      <c r="H426" s="50" t="n">
        <v>0</v>
      </c>
      <c r="I426" s="50" t="n">
        <v>0</v>
      </c>
      <c r="J426" s="50" t="n">
        <v>47</v>
      </c>
      <c r="K426" s="50" t="n">
        <v>76</v>
      </c>
      <c r="L426" s="93" t="n">
        <v>123</v>
      </c>
      <c r="M426" s="50" t="n">
        <v>47</v>
      </c>
      <c r="N426" s="50" t="n">
        <v>76</v>
      </c>
      <c r="O426" s="51" t="n">
        <v>123</v>
      </c>
      <c r="P426" s="52" t="n">
        <f aca="false">+(N426-M426)/O426</f>
        <v>0.235772357723577</v>
      </c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117" t="s">
        <v>32</v>
      </c>
      <c r="B427" s="54" t="s">
        <v>85</v>
      </c>
      <c r="C427" s="96" t="s">
        <v>80</v>
      </c>
      <c r="D427" s="50" t="n">
        <v>0</v>
      </c>
      <c r="E427" s="50" t="n">
        <v>0</v>
      </c>
      <c r="F427" s="50" t="n">
        <f aca="false">SUM(D427+E427)</f>
        <v>0</v>
      </c>
      <c r="G427" s="50" t="n">
        <v>0</v>
      </c>
      <c r="H427" s="50" t="n">
        <v>0</v>
      </c>
      <c r="I427" s="50" t="n">
        <v>0</v>
      </c>
      <c r="J427" s="50" t="n">
        <v>149</v>
      </c>
      <c r="K427" s="50" t="n">
        <v>156</v>
      </c>
      <c r="L427" s="93" t="n">
        <v>305</v>
      </c>
      <c r="M427" s="50" t="n">
        <v>149</v>
      </c>
      <c r="N427" s="50" t="n">
        <v>156</v>
      </c>
      <c r="O427" s="51" t="n">
        <v>305</v>
      </c>
      <c r="P427" s="52" t="n">
        <f aca="false">+(N427-M427)/O427</f>
        <v>0.0229508196721311</v>
      </c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117" t="s">
        <v>29</v>
      </c>
      <c r="B428" s="48" t="s">
        <v>85</v>
      </c>
      <c r="C428" s="96" t="s">
        <v>80</v>
      </c>
      <c r="D428" s="50" t="n">
        <v>0</v>
      </c>
      <c r="E428" s="50" t="n">
        <v>0</v>
      </c>
      <c r="F428" s="50" t="n">
        <f aca="false">SUM(D428+E428)</f>
        <v>0</v>
      </c>
      <c r="G428" s="50" t="n">
        <v>0</v>
      </c>
      <c r="H428" s="50" t="n">
        <v>0</v>
      </c>
      <c r="I428" s="50" t="n">
        <v>0</v>
      </c>
      <c r="J428" s="50" t="n">
        <v>145</v>
      </c>
      <c r="K428" s="50" t="n">
        <v>153</v>
      </c>
      <c r="L428" s="93" t="n">
        <v>298</v>
      </c>
      <c r="M428" s="50" t="n">
        <v>145</v>
      </c>
      <c r="N428" s="50" t="n">
        <v>153</v>
      </c>
      <c r="O428" s="51" t="n">
        <v>298</v>
      </c>
      <c r="P428" s="52" t="n">
        <f aca="false">+(N428-M428)/O428</f>
        <v>0.0268456375838926</v>
      </c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117" t="s">
        <v>34</v>
      </c>
      <c r="B429" s="54" t="s">
        <v>85</v>
      </c>
      <c r="C429" s="96" t="s">
        <v>80</v>
      </c>
      <c r="D429" s="50" t="n">
        <v>0</v>
      </c>
      <c r="E429" s="50" t="n">
        <v>0</v>
      </c>
      <c r="F429" s="50" t="n">
        <f aca="false">SUM(D429+E429)</f>
        <v>0</v>
      </c>
      <c r="G429" s="50" t="n">
        <v>0</v>
      </c>
      <c r="H429" s="50" t="n">
        <v>0</v>
      </c>
      <c r="I429" s="50" t="n">
        <v>0</v>
      </c>
      <c r="J429" s="50" t="n">
        <v>131</v>
      </c>
      <c r="K429" s="50" t="n">
        <v>169</v>
      </c>
      <c r="L429" s="93" t="n">
        <v>300</v>
      </c>
      <c r="M429" s="50" t="n">
        <v>131</v>
      </c>
      <c r="N429" s="50" t="n">
        <v>169</v>
      </c>
      <c r="O429" s="51" t="n">
        <v>300</v>
      </c>
      <c r="P429" s="52" t="n">
        <f aca="false">+(N429-M429)/O429</f>
        <v>0.126666666666667</v>
      </c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117" t="s">
        <v>34</v>
      </c>
      <c r="B430" s="48" t="s">
        <v>86</v>
      </c>
      <c r="C430" s="96" t="s">
        <v>83</v>
      </c>
      <c r="D430" s="50" t="n">
        <v>0</v>
      </c>
      <c r="E430" s="50" t="n">
        <v>0</v>
      </c>
      <c r="F430" s="50" t="n">
        <f aca="false">SUM(D430+E430)</f>
        <v>0</v>
      </c>
      <c r="G430" s="50" t="n">
        <v>0</v>
      </c>
      <c r="H430" s="50" t="n">
        <v>0</v>
      </c>
      <c r="I430" s="50" t="n">
        <v>0</v>
      </c>
      <c r="J430" s="50" t="n">
        <v>69</v>
      </c>
      <c r="K430" s="50" t="n">
        <v>83</v>
      </c>
      <c r="L430" s="93" t="n">
        <v>152</v>
      </c>
      <c r="M430" s="50" t="n">
        <v>69</v>
      </c>
      <c r="N430" s="50" t="n">
        <v>83</v>
      </c>
      <c r="O430" s="51" t="n">
        <v>152</v>
      </c>
      <c r="P430" s="52" t="n">
        <f aca="false">+(N430-M430)/O430</f>
        <v>0.0921052631578947</v>
      </c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117" t="s">
        <v>32</v>
      </c>
      <c r="B431" s="54" t="s">
        <v>87</v>
      </c>
      <c r="C431" s="96" t="s">
        <v>88</v>
      </c>
      <c r="D431" s="50" t="n">
        <v>0</v>
      </c>
      <c r="E431" s="50" t="n">
        <v>0</v>
      </c>
      <c r="F431" s="50" t="n">
        <f aca="false">SUM(D431+E431)</f>
        <v>0</v>
      </c>
      <c r="G431" s="50" t="n">
        <v>0</v>
      </c>
      <c r="H431" s="50" t="n">
        <v>0</v>
      </c>
      <c r="I431" s="50" t="n">
        <v>0</v>
      </c>
      <c r="J431" s="50" t="n">
        <v>72</v>
      </c>
      <c r="K431" s="50" t="n">
        <v>78</v>
      </c>
      <c r="L431" s="93" t="n">
        <v>150</v>
      </c>
      <c r="M431" s="50" t="n">
        <v>72</v>
      </c>
      <c r="N431" s="50" t="n">
        <v>78</v>
      </c>
      <c r="O431" s="51" t="n">
        <v>150</v>
      </c>
      <c r="P431" s="52" t="n">
        <f aca="false">+(N431-M431)/O431</f>
        <v>0.04</v>
      </c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117" t="s">
        <v>89</v>
      </c>
      <c r="B432" s="54" t="s">
        <v>90</v>
      </c>
      <c r="C432" s="96" t="s">
        <v>80</v>
      </c>
      <c r="D432" s="50" t="n">
        <v>0</v>
      </c>
      <c r="E432" s="50" t="n">
        <v>0</v>
      </c>
      <c r="F432" s="50" t="n">
        <f aca="false">SUM(D432+E432)</f>
        <v>0</v>
      </c>
      <c r="G432" s="50" t="n">
        <v>0</v>
      </c>
      <c r="H432" s="50" t="n">
        <v>0</v>
      </c>
      <c r="I432" s="50" t="n">
        <v>0</v>
      </c>
      <c r="J432" s="118" t="n">
        <v>12</v>
      </c>
      <c r="K432" s="118" t="n">
        <v>19</v>
      </c>
      <c r="L432" s="93" t="n">
        <v>31</v>
      </c>
      <c r="M432" s="50" t="n">
        <v>12</v>
      </c>
      <c r="N432" s="50" t="n">
        <v>19</v>
      </c>
      <c r="O432" s="51" t="n">
        <v>31</v>
      </c>
      <c r="P432" s="52" t="n">
        <f aca="false">+(N432-M432)/O432</f>
        <v>0.225806451612903</v>
      </c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119" t="s">
        <v>32</v>
      </c>
      <c r="B433" s="120" t="s">
        <v>91</v>
      </c>
      <c r="C433" s="96" t="s">
        <v>80</v>
      </c>
      <c r="D433" s="50" t="n">
        <v>0</v>
      </c>
      <c r="E433" s="50" t="n">
        <v>0</v>
      </c>
      <c r="F433" s="50" t="n">
        <f aca="false">SUM(D433+E433)</f>
        <v>0</v>
      </c>
      <c r="G433" s="73" t="n">
        <v>0</v>
      </c>
      <c r="H433" s="73" t="n">
        <v>0</v>
      </c>
      <c r="I433" s="50" t="n">
        <v>0</v>
      </c>
      <c r="J433" s="121" t="n">
        <v>48</v>
      </c>
      <c r="K433" s="121" t="n">
        <v>57</v>
      </c>
      <c r="L433" s="93" t="n">
        <v>105</v>
      </c>
      <c r="M433" s="50" t="n">
        <v>48</v>
      </c>
      <c r="N433" s="50" t="n">
        <v>57</v>
      </c>
      <c r="O433" s="51" t="n">
        <v>105</v>
      </c>
      <c r="P433" s="52" t="n">
        <f aca="false">+(N433-M433)/O433</f>
        <v>0.0857142857142857</v>
      </c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119" t="s">
        <v>30</v>
      </c>
      <c r="B434" s="120" t="s">
        <v>92</v>
      </c>
      <c r="C434" s="96" t="s">
        <v>83</v>
      </c>
      <c r="D434" s="50" t="n">
        <v>0</v>
      </c>
      <c r="E434" s="50" t="n">
        <v>0</v>
      </c>
      <c r="F434" s="50" t="n">
        <f aca="false">SUM(D434+E434)</f>
        <v>0</v>
      </c>
      <c r="G434" s="73" t="n">
        <v>0</v>
      </c>
      <c r="H434" s="73" t="n">
        <v>0</v>
      </c>
      <c r="I434" s="50" t="n">
        <v>0</v>
      </c>
      <c r="J434" s="121" t="n">
        <v>45</v>
      </c>
      <c r="K434" s="121" t="n">
        <v>66</v>
      </c>
      <c r="L434" s="93" t="n">
        <v>111</v>
      </c>
      <c r="M434" s="50" t="n">
        <v>45</v>
      </c>
      <c r="N434" s="50" t="n">
        <v>66</v>
      </c>
      <c r="O434" s="51" t="n">
        <v>111</v>
      </c>
      <c r="P434" s="52" t="n">
        <f aca="false">+(N434-M434)/O434</f>
        <v>0.189189189189189</v>
      </c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119" t="s">
        <v>32</v>
      </c>
      <c r="B435" s="120" t="s">
        <v>93</v>
      </c>
      <c r="C435" s="72" t="s">
        <v>80</v>
      </c>
      <c r="D435" s="50" t="n">
        <v>0</v>
      </c>
      <c r="E435" s="50" t="n">
        <v>0</v>
      </c>
      <c r="F435" s="73" t="n">
        <f aca="false">SUM(D435+E435)</f>
        <v>0</v>
      </c>
      <c r="G435" s="73" t="n">
        <v>0</v>
      </c>
      <c r="H435" s="73" t="n">
        <v>0</v>
      </c>
      <c r="I435" s="73" t="n">
        <v>0</v>
      </c>
      <c r="J435" s="121" t="n">
        <v>87</v>
      </c>
      <c r="K435" s="121" t="n">
        <v>146</v>
      </c>
      <c r="L435" s="122" t="n">
        <v>233</v>
      </c>
      <c r="M435" s="73" t="n">
        <v>87</v>
      </c>
      <c r="N435" s="73" t="n">
        <v>146</v>
      </c>
      <c r="O435" s="74" t="n">
        <v>233</v>
      </c>
      <c r="P435" s="52" t="n">
        <f aca="false">+(N435-M435)/O435</f>
        <v>0.253218884120172</v>
      </c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64" t="s">
        <v>46</v>
      </c>
      <c r="B436" s="64"/>
      <c r="C436" s="64"/>
      <c r="D436" s="44" t="n">
        <f aca="false">SUM(D419:D435)</f>
        <v>0</v>
      </c>
      <c r="E436" s="44" t="n">
        <f aca="false">SUM(E419:E435)</f>
        <v>0</v>
      </c>
      <c r="F436" s="44" t="n">
        <f aca="false">SUM(F419:F435)</f>
        <v>0</v>
      </c>
      <c r="G436" s="44" t="n">
        <f aca="false">SUM(G419:G435)</f>
        <v>0</v>
      </c>
      <c r="H436" s="44" t="n">
        <f aca="false">SUM(H419:H435)</f>
        <v>0</v>
      </c>
      <c r="I436" s="44" t="n">
        <f aca="false">SUM(I419:I435)</f>
        <v>0</v>
      </c>
      <c r="J436" s="44" t="n">
        <f aca="false">SUM(J419:J435)</f>
        <v>1437</v>
      </c>
      <c r="K436" s="44" t="n">
        <f aca="false">SUM(K419:K435)</f>
        <v>1760</v>
      </c>
      <c r="L436" s="44" t="n">
        <f aca="false">SUM(L419:L435)</f>
        <v>3197</v>
      </c>
      <c r="M436" s="44" t="n">
        <f aca="false">SUM(M419:M435)</f>
        <v>1437</v>
      </c>
      <c r="N436" s="44" t="n">
        <f aca="false">SUM(N419:N435)</f>
        <v>1760</v>
      </c>
      <c r="O436" s="45" t="n">
        <f aca="false">SUM(O419:O435)</f>
        <v>3197</v>
      </c>
      <c r="P436" s="52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30" hidden="false" customHeight="true" outlineLevel="0" collapsed="false">
      <c r="A437" s="67"/>
      <c r="B437" s="67"/>
      <c r="C437" s="6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52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68" t="s">
        <v>47</v>
      </c>
      <c r="B438" s="69"/>
      <c r="C438" s="69"/>
      <c r="D438" s="44" t="s">
        <v>23</v>
      </c>
      <c r="E438" s="44" t="s">
        <v>24</v>
      </c>
      <c r="F438" s="44" t="s">
        <v>25</v>
      </c>
      <c r="G438" s="44" t="s">
        <v>23</v>
      </c>
      <c r="H438" s="44" t="s">
        <v>24</v>
      </c>
      <c r="I438" s="44" t="s">
        <v>25</v>
      </c>
      <c r="J438" s="44" t="s">
        <v>23</v>
      </c>
      <c r="K438" s="44" t="s">
        <v>24</v>
      </c>
      <c r="L438" s="44" t="s">
        <v>25</v>
      </c>
      <c r="M438" s="44" t="s">
        <v>23</v>
      </c>
      <c r="N438" s="44" t="s">
        <v>24</v>
      </c>
      <c r="O438" s="45" t="s">
        <v>25</v>
      </c>
      <c r="P438" s="52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92" t="s">
        <v>69</v>
      </c>
      <c r="B439" s="49"/>
      <c r="C439" s="49"/>
      <c r="D439" s="93"/>
      <c r="E439" s="49"/>
      <c r="F439" s="49"/>
      <c r="G439" s="49"/>
      <c r="H439" s="49"/>
      <c r="I439" s="93"/>
      <c r="J439" s="93"/>
      <c r="K439" s="93"/>
      <c r="L439" s="93"/>
      <c r="M439" s="93"/>
      <c r="N439" s="93"/>
      <c r="O439" s="94"/>
      <c r="P439" s="52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95" t="s">
        <v>70</v>
      </c>
      <c r="B440" s="96"/>
      <c r="C440" s="96"/>
      <c r="D440" s="50"/>
      <c r="E440" s="123"/>
      <c r="F440" s="123"/>
      <c r="G440" s="123"/>
      <c r="H440" s="123"/>
      <c r="I440" s="50"/>
      <c r="J440" s="50"/>
      <c r="K440" s="50"/>
      <c r="L440" s="50"/>
      <c r="M440" s="50"/>
      <c r="N440" s="50"/>
      <c r="O440" s="51"/>
      <c r="P440" s="52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97" t="s">
        <v>71</v>
      </c>
      <c r="B441" s="98"/>
      <c r="C441" s="98"/>
      <c r="D441" s="124"/>
      <c r="E441" s="125"/>
      <c r="F441" s="125"/>
      <c r="G441" s="125"/>
      <c r="H441" s="125"/>
      <c r="I441" s="124"/>
      <c r="J441" s="124"/>
      <c r="K441" s="124"/>
      <c r="L441" s="124"/>
      <c r="M441" s="124"/>
      <c r="N441" s="124"/>
      <c r="O441" s="126"/>
      <c r="P441" s="52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64" t="s">
        <v>46</v>
      </c>
      <c r="B442" s="64"/>
      <c r="C442" s="64"/>
      <c r="D442" s="44" t="n">
        <v>0</v>
      </c>
      <c r="E442" s="44" t="n">
        <v>0</v>
      </c>
      <c r="F442" s="44" t="n">
        <v>0</v>
      </c>
      <c r="G442" s="44" t="n">
        <v>0</v>
      </c>
      <c r="H442" s="44" t="n">
        <v>0</v>
      </c>
      <c r="I442" s="44" t="n">
        <v>0</v>
      </c>
      <c r="J442" s="44" t="n">
        <v>0</v>
      </c>
      <c r="K442" s="44" t="n">
        <v>0</v>
      </c>
      <c r="L442" s="44" t="n">
        <v>0</v>
      </c>
      <c r="M442" s="44" t="n">
        <v>0</v>
      </c>
      <c r="N442" s="44" t="n">
        <v>0</v>
      </c>
      <c r="O442" s="45" t="n">
        <v>0</v>
      </c>
      <c r="P442" s="52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30" hidden="false" customHeight="true" outlineLevel="0" collapsed="false">
      <c r="A443" s="75"/>
      <c r="B443" s="76"/>
      <c r="C443" s="76"/>
      <c r="D443" s="2"/>
      <c r="E443" s="77"/>
      <c r="F443" s="77"/>
      <c r="G443" s="77"/>
      <c r="H443" s="77"/>
      <c r="I443" s="2"/>
      <c r="J443" s="2"/>
      <c r="K443" s="2"/>
      <c r="L443" s="2"/>
      <c r="M443" s="2"/>
      <c r="N443" s="2"/>
      <c r="O443" s="2"/>
      <c r="P443" s="52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78" t="s">
        <v>48</v>
      </c>
      <c r="B444" s="69"/>
      <c r="C444" s="69"/>
      <c r="D444" s="44" t="s">
        <v>23</v>
      </c>
      <c r="E444" s="44" t="s">
        <v>24</v>
      </c>
      <c r="F444" s="44" t="s">
        <v>25</v>
      </c>
      <c r="G444" s="44" t="s">
        <v>23</v>
      </c>
      <c r="H444" s="44" t="s">
        <v>24</v>
      </c>
      <c r="I444" s="44" t="s">
        <v>25</v>
      </c>
      <c r="J444" s="44" t="s">
        <v>23</v>
      </c>
      <c r="K444" s="44" t="s">
        <v>24</v>
      </c>
      <c r="L444" s="44" t="s">
        <v>25</v>
      </c>
      <c r="M444" s="44" t="s">
        <v>23</v>
      </c>
      <c r="N444" s="44" t="s">
        <v>24</v>
      </c>
      <c r="O444" s="45" t="s">
        <v>25</v>
      </c>
      <c r="P444" s="52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79" t="s">
        <v>94</v>
      </c>
      <c r="B445" s="127" t="s">
        <v>95</v>
      </c>
      <c r="C445" s="49" t="s">
        <v>80</v>
      </c>
      <c r="D445" s="50" t="n">
        <v>0</v>
      </c>
      <c r="E445" s="50" t="n">
        <v>0</v>
      </c>
      <c r="F445" s="50" t="n">
        <v>0</v>
      </c>
      <c r="G445" s="50" t="n">
        <v>0</v>
      </c>
      <c r="H445" s="50" t="n">
        <v>0</v>
      </c>
      <c r="I445" s="50" t="n">
        <v>0</v>
      </c>
      <c r="J445" s="93" t="n">
        <v>79</v>
      </c>
      <c r="K445" s="93" t="n">
        <v>135</v>
      </c>
      <c r="L445" s="93" t="n">
        <v>214</v>
      </c>
      <c r="M445" s="50" t="n">
        <v>79</v>
      </c>
      <c r="N445" s="50" t="n">
        <v>135</v>
      </c>
      <c r="O445" s="51" t="n">
        <v>214</v>
      </c>
      <c r="P445" s="52" t="n">
        <f aca="false">+(N445-M445)/O445</f>
        <v>0.261682242990654</v>
      </c>
      <c r="Q445" s="7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80" t="s">
        <v>96</v>
      </c>
      <c r="B446" s="128" t="s">
        <v>95</v>
      </c>
      <c r="C446" s="49" t="s">
        <v>80</v>
      </c>
      <c r="D446" s="50" t="n">
        <v>0</v>
      </c>
      <c r="E446" s="50" t="n">
        <v>0</v>
      </c>
      <c r="F446" s="50" t="n">
        <v>0</v>
      </c>
      <c r="G446" s="50" t="n">
        <v>0</v>
      </c>
      <c r="H446" s="50" t="n">
        <v>0</v>
      </c>
      <c r="I446" s="50" t="n">
        <v>0</v>
      </c>
      <c r="J446" s="50" t="n">
        <v>80</v>
      </c>
      <c r="K446" s="50" t="n">
        <v>117</v>
      </c>
      <c r="L446" s="93" t="n">
        <v>197</v>
      </c>
      <c r="M446" s="50" t="n">
        <v>80</v>
      </c>
      <c r="N446" s="50" t="n">
        <v>117</v>
      </c>
      <c r="O446" s="51" t="n">
        <v>197</v>
      </c>
      <c r="P446" s="52" t="n">
        <f aca="false">+(N446-M446)/O446</f>
        <v>0.187817258883249</v>
      </c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81" t="s">
        <v>56</v>
      </c>
      <c r="B447" s="129" t="s">
        <v>95</v>
      </c>
      <c r="C447" s="57" t="s">
        <v>80</v>
      </c>
      <c r="D447" s="58" t="n">
        <v>0</v>
      </c>
      <c r="E447" s="58" t="n">
        <v>0</v>
      </c>
      <c r="F447" s="58" t="n">
        <v>0</v>
      </c>
      <c r="G447" s="58" t="n">
        <v>0</v>
      </c>
      <c r="H447" s="58" t="n">
        <v>0</v>
      </c>
      <c r="I447" s="58" t="n">
        <v>0</v>
      </c>
      <c r="J447" s="58" t="n">
        <v>38</v>
      </c>
      <c r="K447" s="58" t="n">
        <v>22</v>
      </c>
      <c r="L447" s="103" t="n">
        <v>60</v>
      </c>
      <c r="M447" s="58" t="n">
        <v>38</v>
      </c>
      <c r="N447" s="58" t="n">
        <v>22</v>
      </c>
      <c r="O447" s="59" t="n">
        <v>60</v>
      </c>
      <c r="P447" s="52" t="n">
        <f aca="false">+(N447-M447)/O447</f>
        <v>-0.266666666666667</v>
      </c>
      <c r="Q447" s="2" t="n">
        <v>0</v>
      </c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81" t="s">
        <v>97</v>
      </c>
      <c r="B448" s="130" t="s">
        <v>98</v>
      </c>
      <c r="C448" s="57" t="s">
        <v>80</v>
      </c>
      <c r="D448" s="58" t="n">
        <v>0</v>
      </c>
      <c r="E448" s="58" t="n">
        <v>0</v>
      </c>
      <c r="F448" s="58" t="n">
        <v>0</v>
      </c>
      <c r="G448" s="58" t="n">
        <v>0</v>
      </c>
      <c r="H448" s="58" t="n">
        <v>0</v>
      </c>
      <c r="I448" s="58" t="n">
        <v>0</v>
      </c>
      <c r="J448" s="58" t="n">
        <v>265</v>
      </c>
      <c r="K448" s="58" t="n">
        <v>111</v>
      </c>
      <c r="L448" s="103" t="n">
        <v>376</v>
      </c>
      <c r="M448" s="58" t="n">
        <v>265</v>
      </c>
      <c r="N448" s="58" t="n">
        <v>111</v>
      </c>
      <c r="O448" s="59" t="n">
        <v>376</v>
      </c>
      <c r="P448" s="60" t="n">
        <f aca="false">+(N448-M448)/O448</f>
        <v>-0.409574468085106</v>
      </c>
      <c r="Q448" s="61" t="n">
        <v>1</v>
      </c>
      <c r="R448" s="81" t="s">
        <v>97</v>
      </c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80" t="s">
        <v>99</v>
      </c>
      <c r="B449" s="131" t="s">
        <v>98</v>
      </c>
      <c r="C449" s="49" t="s">
        <v>80</v>
      </c>
      <c r="D449" s="50" t="n">
        <v>0</v>
      </c>
      <c r="E449" s="50" t="n">
        <v>0</v>
      </c>
      <c r="F449" s="50" t="n">
        <v>0</v>
      </c>
      <c r="G449" s="50" t="n">
        <v>0</v>
      </c>
      <c r="H449" s="50" t="n">
        <v>0</v>
      </c>
      <c r="I449" s="50" t="n">
        <v>0</v>
      </c>
      <c r="J449" s="50" t="n">
        <v>31</v>
      </c>
      <c r="K449" s="50" t="n">
        <v>40</v>
      </c>
      <c r="L449" s="93" t="n">
        <v>71</v>
      </c>
      <c r="M449" s="50" t="n">
        <v>31</v>
      </c>
      <c r="N449" s="50" t="n">
        <v>40</v>
      </c>
      <c r="O449" s="51" t="n">
        <v>71</v>
      </c>
      <c r="P449" s="52" t="n">
        <f aca="false">+(N449-M449)/O449</f>
        <v>0.126760563380282</v>
      </c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70" t="s">
        <v>100</v>
      </c>
      <c r="B450" s="132" t="s">
        <v>101</v>
      </c>
      <c r="C450" s="86" t="s">
        <v>80</v>
      </c>
      <c r="D450" s="50" t="n">
        <v>0</v>
      </c>
      <c r="E450" s="50" t="n">
        <v>0</v>
      </c>
      <c r="F450" s="50" t="n">
        <v>0</v>
      </c>
      <c r="G450" s="73" t="n">
        <v>0</v>
      </c>
      <c r="H450" s="73" t="n">
        <v>0</v>
      </c>
      <c r="I450" s="73" t="n">
        <v>0</v>
      </c>
      <c r="J450" s="73" t="n">
        <v>100</v>
      </c>
      <c r="K450" s="73" t="n">
        <v>164</v>
      </c>
      <c r="L450" s="122" t="n">
        <v>264</v>
      </c>
      <c r="M450" s="73" t="n">
        <v>100</v>
      </c>
      <c r="N450" s="73" t="n">
        <v>164</v>
      </c>
      <c r="O450" s="74" t="n">
        <v>264</v>
      </c>
      <c r="P450" s="52" t="n">
        <f aca="false">+(N450-M450)/O450</f>
        <v>0.242424242424242</v>
      </c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64" t="s">
        <v>46</v>
      </c>
      <c r="B451" s="64"/>
      <c r="C451" s="64"/>
      <c r="D451" s="44" t="n">
        <f aca="false">SUM(D445:D450)</f>
        <v>0</v>
      </c>
      <c r="E451" s="44" t="n">
        <f aca="false">SUM(E445:E450)</f>
        <v>0</v>
      </c>
      <c r="F451" s="44" t="n">
        <f aca="false">SUM(F445:F450)</f>
        <v>0</v>
      </c>
      <c r="G451" s="44" t="n">
        <f aca="false">SUM(G445:G450)</f>
        <v>0</v>
      </c>
      <c r="H451" s="44" t="n">
        <f aca="false">SUM(H445:H450)</f>
        <v>0</v>
      </c>
      <c r="I451" s="44" t="n">
        <f aca="false">SUM(I445:I450)</f>
        <v>0</v>
      </c>
      <c r="J451" s="44" t="n">
        <f aca="false">SUM(J445:J450)</f>
        <v>593</v>
      </c>
      <c r="K451" s="44" t="n">
        <f aca="false">SUM(K445:K450)</f>
        <v>589</v>
      </c>
      <c r="L451" s="44" t="n">
        <f aca="false">SUM(L445:L450)</f>
        <v>1182</v>
      </c>
      <c r="M451" s="44" t="n">
        <f aca="false">SUM(M445:M450)</f>
        <v>593</v>
      </c>
      <c r="N451" s="44" t="n">
        <f aca="false">SUM(N445:N450)</f>
        <v>589</v>
      </c>
      <c r="O451" s="45" t="n">
        <f aca="false">SUM(O445:O450)</f>
        <v>1182</v>
      </c>
      <c r="P451" s="52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30" hidden="false" customHeight="true" outlineLevel="0" collapsed="false">
      <c r="A452" s="75"/>
      <c r="B452" s="76"/>
      <c r="C452" s="4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52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78" t="s">
        <v>68</v>
      </c>
      <c r="B453" s="89"/>
      <c r="C453" s="89"/>
      <c r="D453" s="44" t="s">
        <v>23</v>
      </c>
      <c r="E453" s="44" t="s">
        <v>24</v>
      </c>
      <c r="F453" s="44" t="s">
        <v>25</v>
      </c>
      <c r="G453" s="44" t="s">
        <v>23</v>
      </c>
      <c r="H453" s="44" t="s">
        <v>24</v>
      </c>
      <c r="I453" s="44" t="s">
        <v>25</v>
      </c>
      <c r="J453" s="44" t="s">
        <v>23</v>
      </c>
      <c r="K453" s="44" t="s">
        <v>24</v>
      </c>
      <c r="L453" s="44" t="s">
        <v>25</v>
      </c>
      <c r="M453" s="44" t="s">
        <v>23</v>
      </c>
      <c r="N453" s="44" t="s">
        <v>24</v>
      </c>
      <c r="O453" s="45" t="s">
        <v>25</v>
      </c>
      <c r="P453" s="90"/>
      <c r="R453" s="91"/>
      <c r="S453" s="91"/>
      <c r="T453" s="91"/>
      <c r="U453" s="91"/>
      <c r="V453" s="91"/>
      <c r="W453" s="91"/>
      <c r="X453" s="91"/>
      <c r="Y453" s="91"/>
      <c r="Z453" s="91"/>
    </row>
    <row r="454" customFormat="false" ht="15.75" hidden="false" customHeight="true" outlineLevel="0" collapsed="false">
      <c r="A454" s="92" t="s">
        <v>69</v>
      </c>
      <c r="B454" s="49"/>
      <c r="C454" s="49"/>
      <c r="D454" s="93"/>
      <c r="E454" s="93"/>
      <c r="F454" s="93"/>
      <c r="G454" s="93"/>
      <c r="H454" s="93"/>
      <c r="I454" s="49"/>
      <c r="J454" s="93"/>
      <c r="K454" s="93"/>
      <c r="L454" s="93"/>
      <c r="M454" s="93"/>
      <c r="N454" s="93"/>
      <c r="O454" s="94"/>
      <c r="P454" s="52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95" t="s">
        <v>70</v>
      </c>
      <c r="B455" s="96"/>
      <c r="C455" s="96"/>
      <c r="D455" s="50"/>
      <c r="E455" s="50"/>
      <c r="F455" s="50"/>
      <c r="G455" s="50"/>
      <c r="H455" s="50"/>
      <c r="I455" s="96"/>
      <c r="J455" s="50"/>
      <c r="K455" s="50"/>
      <c r="L455" s="50"/>
      <c r="M455" s="50"/>
      <c r="N455" s="50"/>
      <c r="O455" s="51"/>
      <c r="P455" s="52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97" t="s">
        <v>71</v>
      </c>
      <c r="B456" s="98"/>
      <c r="C456" s="98"/>
      <c r="D456" s="124"/>
      <c r="E456" s="124"/>
      <c r="F456" s="124"/>
      <c r="G456" s="124"/>
      <c r="H456" s="124"/>
      <c r="I456" s="98"/>
      <c r="J456" s="124"/>
      <c r="K456" s="124"/>
      <c r="L456" s="124"/>
      <c r="M456" s="124"/>
      <c r="N456" s="124"/>
      <c r="O456" s="126"/>
      <c r="P456" s="52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64" t="s">
        <v>46</v>
      </c>
      <c r="B457" s="64"/>
      <c r="C457" s="64"/>
      <c r="D457" s="44" t="n">
        <v>0</v>
      </c>
      <c r="E457" s="44" t="n">
        <v>0</v>
      </c>
      <c r="F457" s="44" t="n">
        <v>0</v>
      </c>
      <c r="G457" s="44" t="n">
        <v>0</v>
      </c>
      <c r="H457" s="44" t="n">
        <v>0</v>
      </c>
      <c r="I457" s="44" t="n">
        <v>0</v>
      </c>
      <c r="J457" s="44" t="n">
        <v>0</v>
      </c>
      <c r="K457" s="44" t="n">
        <v>0</v>
      </c>
      <c r="L457" s="44" t="n">
        <v>0</v>
      </c>
      <c r="M457" s="44" t="n">
        <v>0</v>
      </c>
      <c r="N457" s="44" t="n">
        <v>0</v>
      </c>
      <c r="O457" s="45" t="n">
        <v>0</v>
      </c>
      <c r="P457" s="52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31.5" hidden="false" customHeight="true" outlineLevel="0" collapsed="false">
      <c r="A458" s="67"/>
      <c r="B458" s="76"/>
      <c r="C458" s="76"/>
      <c r="D458" s="2"/>
      <c r="E458" s="2"/>
      <c r="F458" s="2"/>
      <c r="G458" s="2"/>
      <c r="H458" s="2"/>
      <c r="I458" s="76"/>
      <c r="J458" s="2"/>
      <c r="K458" s="2"/>
      <c r="L458" s="2"/>
      <c r="M458" s="2"/>
      <c r="N458" s="2"/>
      <c r="O458" s="2"/>
      <c r="P458" s="52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78" t="s">
        <v>72</v>
      </c>
      <c r="B459" s="69"/>
      <c r="C459" s="69"/>
      <c r="D459" s="44" t="s">
        <v>23</v>
      </c>
      <c r="E459" s="44" t="s">
        <v>24</v>
      </c>
      <c r="F459" s="44" t="s">
        <v>25</v>
      </c>
      <c r="G459" s="44" t="s">
        <v>23</v>
      </c>
      <c r="H459" s="44" t="s">
        <v>24</v>
      </c>
      <c r="I459" s="133" t="s">
        <v>25</v>
      </c>
      <c r="J459" s="44" t="s">
        <v>23</v>
      </c>
      <c r="K459" s="44" t="s">
        <v>24</v>
      </c>
      <c r="L459" s="133" t="s">
        <v>25</v>
      </c>
      <c r="M459" s="44" t="s">
        <v>23</v>
      </c>
      <c r="N459" s="44" t="s">
        <v>24</v>
      </c>
      <c r="O459" s="45" t="s">
        <v>25</v>
      </c>
      <c r="P459" s="52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134" t="s">
        <v>102</v>
      </c>
      <c r="B460" s="131" t="s">
        <v>103</v>
      </c>
      <c r="C460" s="135" t="s">
        <v>80</v>
      </c>
      <c r="D460" s="50" t="n">
        <v>0</v>
      </c>
      <c r="E460" s="50" t="n">
        <v>0</v>
      </c>
      <c r="F460" s="50" t="n">
        <v>0</v>
      </c>
      <c r="G460" s="136" t="n">
        <v>0</v>
      </c>
      <c r="H460" s="135" t="n">
        <v>0</v>
      </c>
      <c r="I460" s="135" t="n">
        <v>0</v>
      </c>
      <c r="J460" s="135" t="n">
        <v>3</v>
      </c>
      <c r="K460" s="135" t="n">
        <v>4</v>
      </c>
      <c r="L460" s="135" t="n">
        <v>7</v>
      </c>
      <c r="M460" s="50" t="n">
        <v>3</v>
      </c>
      <c r="N460" s="50" t="n">
        <v>4</v>
      </c>
      <c r="O460" s="51" t="n">
        <v>7</v>
      </c>
      <c r="P460" s="52" t="n">
        <f aca="false">+(N460-M460)/O460</f>
        <v>0.142857142857143</v>
      </c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137" t="s">
        <v>104</v>
      </c>
      <c r="B461" s="128" t="s">
        <v>105</v>
      </c>
      <c r="C461" s="93" t="s">
        <v>80</v>
      </c>
      <c r="D461" s="50" t="n">
        <v>0</v>
      </c>
      <c r="E461" s="50" t="n">
        <v>0</v>
      </c>
      <c r="F461" s="50" t="n">
        <v>0</v>
      </c>
      <c r="G461" s="105" t="n">
        <v>0</v>
      </c>
      <c r="H461" s="50" t="n">
        <v>0</v>
      </c>
      <c r="I461" s="50" t="n">
        <v>0</v>
      </c>
      <c r="J461" s="50" t="n">
        <v>1</v>
      </c>
      <c r="K461" s="50" t="n">
        <v>4</v>
      </c>
      <c r="L461" s="50" t="n">
        <v>5</v>
      </c>
      <c r="M461" s="50" t="n">
        <v>1</v>
      </c>
      <c r="N461" s="50" t="n">
        <v>4</v>
      </c>
      <c r="O461" s="51" t="n">
        <v>5</v>
      </c>
      <c r="P461" s="52" t="n">
        <f aca="false">+(N461-M461)/O461</f>
        <v>0.6</v>
      </c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138" t="s">
        <v>74</v>
      </c>
      <c r="B462" s="139" t="s">
        <v>106</v>
      </c>
      <c r="C462" s="86" t="s">
        <v>80</v>
      </c>
      <c r="D462" s="50" t="n">
        <v>0</v>
      </c>
      <c r="E462" s="50" t="n">
        <v>0</v>
      </c>
      <c r="F462" s="50" t="n">
        <v>0</v>
      </c>
      <c r="G462" s="140" t="n">
        <v>0</v>
      </c>
      <c r="H462" s="73" t="n">
        <v>0</v>
      </c>
      <c r="I462" s="73" t="n">
        <v>0</v>
      </c>
      <c r="J462" s="73" t="n">
        <v>4</v>
      </c>
      <c r="K462" s="73" t="n">
        <v>6</v>
      </c>
      <c r="L462" s="73" t="n">
        <v>10</v>
      </c>
      <c r="M462" s="73" t="n">
        <v>4</v>
      </c>
      <c r="N462" s="73" t="n">
        <v>6</v>
      </c>
      <c r="O462" s="74" t="n">
        <v>10</v>
      </c>
      <c r="P462" s="52" t="n">
        <f aca="false">+(N462-M462)/O462</f>
        <v>0.2</v>
      </c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109"/>
      <c r="B463" s="141" t="s">
        <v>46</v>
      </c>
      <c r="C463" s="141"/>
      <c r="D463" s="44" t="n">
        <f aca="false">SUM(D460:D462)</f>
        <v>0</v>
      </c>
      <c r="E463" s="44" t="n">
        <f aca="false">SUM(E460:E462)</f>
        <v>0</v>
      </c>
      <c r="F463" s="44" t="n">
        <f aca="false">SUM(F460:F462)</f>
        <v>0</v>
      </c>
      <c r="G463" s="44" t="n">
        <f aca="false">SUM(G460:G462)</f>
        <v>0</v>
      </c>
      <c r="H463" s="44" t="n">
        <f aca="false">SUM(H460:H462)</f>
        <v>0</v>
      </c>
      <c r="I463" s="44" t="n">
        <f aca="false">SUM(I460:I462)</f>
        <v>0</v>
      </c>
      <c r="J463" s="44" t="n">
        <f aca="false">SUM(J460:J462)</f>
        <v>8</v>
      </c>
      <c r="K463" s="44" t="n">
        <f aca="false">SUM(K460:K462)</f>
        <v>14</v>
      </c>
      <c r="L463" s="44" t="n">
        <f aca="false">SUM(L460:L462)</f>
        <v>22</v>
      </c>
      <c r="M463" s="44" t="n">
        <f aca="false">SUM(M460:M462)</f>
        <v>8</v>
      </c>
      <c r="N463" s="44" t="n">
        <f aca="false">SUM(N460:N462)</f>
        <v>14</v>
      </c>
      <c r="O463" s="45" t="n">
        <f aca="false">SUM(O460:O462)</f>
        <v>22</v>
      </c>
      <c r="P463" s="52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142"/>
      <c r="B464" s="76"/>
      <c r="C464" s="11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2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78" t="s">
        <v>76</v>
      </c>
      <c r="B465" s="69"/>
      <c r="C465" s="69"/>
      <c r="D465" s="44" t="s">
        <v>23</v>
      </c>
      <c r="E465" s="44" t="s">
        <v>24</v>
      </c>
      <c r="F465" s="44" t="s">
        <v>25</v>
      </c>
      <c r="G465" s="44" t="s">
        <v>23</v>
      </c>
      <c r="H465" s="44" t="s">
        <v>24</v>
      </c>
      <c r="I465" s="44" t="s">
        <v>25</v>
      </c>
      <c r="J465" s="44" t="s">
        <v>23</v>
      </c>
      <c r="K465" s="44" t="s">
        <v>24</v>
      </c>
      <c r="L465" s="44" t="s">
        <v>25</v>
      </c>
      <c r="M465" s="44" t="s">
        <v>23</v>
      </c>
      <c r="N465" s="44" t="s">
        <v>24</v>
      </c>
      <c r="O465" s="45" t="s">
        <v>25</v>
      </c>
      <c r="P465" s="52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92" t="s">
        <v>69</v>
      </c>
      <c r="B466" s="49"/>
      <c r="C466" s="49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4"/>
      <c r="P466" s="52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95" t="s">
        <v>70</v>
      </c>
      <c r="B467" s="96"/>
      <c r="C467" s="96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1"/>
      <c r="P467" s="52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110" t="s">
        <v>71</v>
      </c>
      <c r="B468" s="72"/>
      <c r="C468" s="72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4"/>
      <c r="P468" s="52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64" t="s">
        <v>46</v>
      </c>
      <c r="B469" s="64"/>
      <c r="C469" s="64"/>
      <c r="D469" s="44" t="n">
        <v>0</v>
      </c>
      <c r="E469" s="44" t="n">
        <v>0</v>
      </c>
      <c r="F469" s="44" t="n">
        <v>0</v>
      </c>
      <c r="G469" s="44" t="n">
        <v>0</v>
      </c>
      <c r="H469" s="44" t="n">
        <v>0</v>
      </c>
      <c r="I469" s="44" t="n">
        <v>0</v>
      </c>
      <c r="J469" s="44" t="n">
        <v>0</v>
      </c>
      <c r="K469" s="44" t="n">
        <v>0</v>
      </c>
      <c r="L469" s="44" t="n">
        <v>0</v>
      </c>
      <c r="M469" s="44" t="n">
        <v>0</v>
      </c>
      <c r="N469" s="44" t="n">
        <v>0</v>
      </c>
      <c r="O469" s="45" t="n">
        <v>0</v>
      </c>
      <c r="P469" s="52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143" t="s">
        <v>77</v>
      </c>
      <c r="B470" s="143"/>
      <c r="C470" s="143"/>
      <c r="D470" s="44" t="n">
        <f aca="false">D463+D451+D436</f>
        <v>0</v>
      </c>
      <c r="E470" s="44" t="n">
        <f aca="false">E463+E451+E436</f>
        <v>0</v>
      </c>
      <c r="F470" s="44" t="n">
        <f aca="false">F463+F451+F436</f>
        <v>0</v>
      </c>
      <c r="G470" s="44" t="n">
        <f aca="false">G463+G451+G436</f>
        <v>0</v>
      </c>
      <c r="H470" s="44" t="n">
        <f aca="false">H463+H451+H436</f>
        <v>0</v>
      </c>
      <c r="I470" s="44" t="n">
        <f aca="false">I463+I451+I436</f>
        <v>0</v>
      </c>
      <c r="J470" s="44" t="n">
        <f aca="false">J463+J451+J436</f>
        <v>2038</v>
      </c>
      <c r="K470" s="44" t="n">
        <f aca="false">K463+K451+K436</f>
        <v>2363</v>
      </c>
      <c r="L470" s="44" t="n">
        <f aca="false">L463+L451+L436</f>
        <v>4401</v>
      </c>
      <c r="M470" s="44" t="n">
        <f aca="false">M463+M451+M436</f>
        <v>2038</v>
      </c>
      <c r="N470" s="44" t="n">
        <f aca="false">N463+N451+N436</f>
        <v>2363</v>
      </c>
      <c r="O470" s="45" t="n">
        <f aca="false">O463+O451+O436</f>
        <v>4401</v>
      </c>
      <c r="P470" s="52"/>
    </row>
    <row r="471" customFormat="false" ht="15.75" hidden="false" customHeight="true" outlineLevel="0" collapsed="false">
      <c r="A471" s="112"/>
      <c r="B471" s="112"/>
      <c r="C471" s="11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2"/>
    </row>
    <row r="472" customFormat="false" ht="24" hidden="false" customHeight="true" outlineLevel="0" collapsed="false">
      <c r="A472" s="112"/>
      <c r="B472" s="112"/>
      <c r="C472" s="11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2"/>
    </row>
    <row r="473" customFormat="false" ht="24" hidden="false" customHeight="true" outlineLevel="0" collapsed="false">
      <c r="A473" s="112"/>
      <c r="B473" s="112"/>
      <c r="C473" s="11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2"/>
    </row>
    <row r="474" customFormat="false" ht="24" hidden="false" customHeight="true" outlineLevel="0" collapsed="false">
      <c r="A474" s="112"/>
      <c r="B474" s="112"/>
      <c r="C474" s="11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2"/>
    </row>
    <row r="475" customFormat="false" ht="15.75" hidden="false" customHeight="true" outlineLevel="0" collapsed="false">
      <c r="A475" s="34" t="s">
        <v>107</v>
      </c>
      <c r="B475" s="34"/>
      <c r="C475" s="34"/>
      <c r="D475" s="34"/>
      <c r="E475" s="34"/>
      <c r="F475" s="34"/>
      <c r="G475" s="35" t="s">
        <v>13</v>
      </c>
      <c r="H475" s="35"/>
      <c r="I475" s="35"/>
      <c r="J475" s="35"/>
      <c r="K475" s="35"/>
      <c r="L475" s="35"/>
      <c r="M475" s="35"/>
      <c r="N475" s="35"/>
      <c r="O475" s="35"/>
      <c r="P475" s="52"/>
    </row>
    <row r="476" customFormat="false" ht="24" hidden="false" customHeight="true" outlineLevel="0" collapsed="false">
      <c r="A476" s="35" t="s">
        <v>108</v>
      </c>
      <c r="B476" s="38" t="s">
        <v>16</v>
      </c>
      <c r="C476" s="38" t="s">
        <v>17</v>
      </c>
      <c r="D476" s="38" t="s">
        <v>18</v>
      </c>
      <c r="E476" s="38"/>
      <c r="F476" s="38"/>
      <c r="G476" s="38" t="s">
        <v>19</v>
      </c>
      <c r="H476" s="38"/>
      <c r="I476" s="38"/>
      <c r="J476" s="38" t="s">
        <v>20</v>
      </c>
      <c r="K476" s="38"/>
      <c r="L476" s="38"/>
      <c r="M476" s="38" t="s">
        <v>21</v>
      </c>
      <c r="N476" s="38"/>
      <c r="O476" s="38"/>
      <c r="P476" s="52"/>
      <c r="R476" s="40"/>
      <c r="S476" s="40"/>
      <c r="T476" s="40"/>
      <c r="U476" s="40"/>
      <c r="V476" s="40"/>
      <c r="W476" s="40"/>
      <c r="X476" s="40"/>
      <c r="Y476" s="40"/>
      <c r="Z476" s="40"/>
    </row>
    <row r="477" customFormat="false" ht="15.75" hidden="false" customHeight="true" outlineLevel="0" collapsed="false">
      <c r="A477" s="41" t="s">
        <v>109</v>
      </c>
      <c r="B477" s="42"/>
      <c r="C477" s="42"/>
      <c r="D477" s="43" t="s">
        <v>23</v>
      </c>
      <c r="E477" s="44" t="s">
        <v>24</v>
      </c>
      <c r="F477" s="45" t="s">
        <v>25</v>
      </c>
      <c r="G477" s="43" t="s">
        <v>23</v>
      </c>
      <c r="H477" s="44" t="s">
        <v>24</v>
      </c>
      <c r="I477" s="45" t="s">
        <v>25</v>
      </c>
      <c r="J477" s="43" t="s">
        <v>23</v>
      </c>
      <c r="K477" s="44" t="s">
        <v>24</v>
      </c>
      <c r="L477" s="45" t="s">
        <v>25</v>
      </c>
      <c r="M477" s="43" t="s">
        <v>23</v>
      </c>
      <c r="N477" s="44" t="s">
        <v>24</v>
      </c>
      <c r="O477" s="45" t="s">
        <v>25</v>
      </c>
      <c r="P477" s="52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7" t="s">
        <v>32</v>
      </c>
      <c r="B478" s="144" t="s">
        <v>110</v>
      </c>
      <c r="C478" s="93" t="s">
        <v>111</v>
      </c>
      <c r="D478" s="50" t="n">
        <v>0</v>
      </c>
      <c r="E478" s="50" t="n">
        <v>0</v>
      </c>
      <c r="F478" s="50" t="n">
        <v>0</v>
      </c>
      <c r="G478" s="50" t="n">
        <v>0</v>
      </c>
      <c r="H478" s="50" t="n">
        <v>0</v>
      </c>
      <c r="I478" s="50" t="n">
        <v>0</v>
      </c>
      <c r="J478" s="50" t="n">
        <v>584</v>
      </c>
      <c r="K478" s="50" t="n">
        <v>678</v>
      </c>
      <c r="L478" s="51" t="n">
        <v>1262</v>
      </c>
      <c r="M478" s="50" t="n">
        <v>584</v>
      </c>
      <c r="N478" s="50" t="n">
        <v>678</v>
      </c>
      <c r="O478" s="51" t="n">
        <v>1262</v>
      </c>
      <c r="P478" s="52" t="n">
        <f aca="false">+(N478-M478)/O478</f>
        <v>0.0744849445324881</v>
      </c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53" t="s">
        <v>40</v>
      </c>
      <c r="B479" s="144" t="s">
        <v>112</v>
      </c>
      <c r="C479" s="93" t="s">
        <v>111</v>
      </c>
      <c r="D479" s="50" t="n">
        <v>0</v>
      </c>
      <c r="E479" s="50" t="n">
        <v>0</v>
      </c>
      <c r="F479" s="50" t="n">
        <v>0</v>
      </c>
      <c r="G479" s="50" t="n">
        <v>0</v>
      </c>
      <c r="H479" s="50" t="n">
        <v>0</v>
      </c>
      <c r="I479" s="50" t="n">
        <v>0</v>
      </c>
      <c r="J479" s="50" t="n">
        <v>364</v>
      </c>
      <c r="K479" s="50" t="n">
        <v>498</v>
      </c>
      <c r="L479" s="51" t="n">
        <v>862</v>
      </c>
      <c r="M479" s="50" t="n">
        <v>364</v>
      </c>
      <c r="N479" s="50" t="n">
        <v>498</v>
      </c>
      <c r="O479" s="51" t="n">
        <v>862</v>
      </c>
      <c r="P479" s="52" t="n">
        <f aca="false">+(N479-M479)/O479</f>
        <v>0.155452436194896</v>
      </c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55" t="s">
        <v>31</v>
      </c>
      <c r="B480" s="145" t="s">
        <v>112</v>
      </c>
      <c r="C480" s="103" t="s">
        <v>111</v>
      </c>
      <c r="D480" s="58" t="n">
        <v>0</v>
      </c>
      <c r="E480" s="58" t="n">
        <v>0</v>
      </c>
      <c r="F480" s="58" t="n">
        <v>0</v>
      </c>
      <c r="G480" s="58" t="n">
        <v>0</v>
      </c>
      <c r="H480" s="58" t="n">
        <v>0</v>
      </c>
      <c r="I480" s="58" t="n">
        <v>0</v>
      </c>
      <c r="J480" s="58" t="n">
        <v>172</v>
      </c>
      <c r="K480" s="58" t="n">
        <v>156</v>
      </c>
      <c r="L480" s="59" t="n">
        <v>328</v>
      </c>
      <c r="M480" s="58" t="n">
        <v>172</v>
      </c>
      <c r="N480" s="58" t="n">
        <v>156</v>
      </c>
      <c r="O480" s="59" t="n">
        <v>328</v>
      </c>
      <c r="P480" s="60" t="n">
        <f aca="false">+(N480-M480)/O480</f>
        <v>-0.0487804878048781</v>
      </c>
      <c r="Q480" s="61" t="n">
        <v>1</v>
      </c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53" t="s">
        <v>32</v>
      </c>
      <c r="B481" s="144" t="s">
        <v>113</v>
      </c>
      <c r="C481" s="93" t="s">
        <v>111</v>
      </c>
      <c r="D481" s="50" t="n">
        <v>0</v>
      </c>
      <c r="E481" s="50" t="n">
        <v>0</v>
      </c>
      <c r="F481" s="50" t="n">
        <v>0</v>
      </c>
      <c r="G481" s="50" t="n">
        <v>0</v>
      </c>
      <c r="H481" s="50" t="n">
        <v>0</v>
      </c>
      <c r="I481" s="50" t="n">
        <v>0</v>
      </c>
      <c r="J481" s="50" t="n">
        <v>240</v>
      </c>
      <c r="K481" s="50" t="n">
        <v>295</v>
      </c>
      <c r="L481" s="51" t="n">
        <v>535</v>
      </c>
      <c r="M481" s="50" t="n">
        <v>240</v>
      </c>
      <c r="N481" s="50" t="n">
        <v>295</v>
      </c>
      <c r="O481" s="51" t="n">
        <v>535</v>
      </c>
      <c r="P481" s="52" t="n">
        <f aca="false">+(N481-M481)/O481</f>
        <v>0.102803738317757</v>
      </c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53" t="s">
        <v>32</v>
      </c>
      <c r="B482" s="144" t="s">
        <v>114</v>
      </c>
      <c r="C482" s="93" t="s">
        <v>111</v>
      </c>
      <c r="D482" s="50" t="n">
        <v>0</v>
      </c>
      <c r="E482" s="50" t="n">
        <v>0</v>
      </c>
      <c r="F482" s="50" t="n">
        <v>0</v>
      </c>
      <c r="G482" s="50" t="n">
        <v>0</v>
      </c>
      <c r="H482" s="50" t="n">
        <v>0</v>
      </c>
      <c r="I482" s="50" t="n">
        <v>0</v>
      </c>
      <c r="J482" s="50" t="n">
        <v>161</v>
      </c>
      <c r="K482" s="50" t="n">
        <v>189</v>
      </c>
      <c r="L482" s="51" t="n">
        <v>350</v>
      </c>
      <c r="M482" s="50" t="n">
        <v>161</v>
      </c>
      <c r="N482" s="50" t="n">
        <v>189</v>
      </c>
      <c r="O482" s="51" t="n">
        <v>350</v>
      </c>
      <c r="P482" s="52" t="n">
        <f aca="false">+(N482-M482)/O482</f>
        <v>0.08</v>
      </c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55" t="s">
        <v>115</v>
      </c>
      <c r="B483" s="145" t="s">
        <v>116</v>
      </c>
      <c r="C483" s="103" t="s">
        <v>111</v>
      </c>
      <c r="D483" s="58" t="n">
        <v>0</v>
      </c>
      <c r="E483" s="58" t="n">
        <v>0</v>
      </c>
      <c r="F483" s="58" t="n">
        <v>0</v>
      </c>
      <c r="G483" s="58" t="n">
        <v>0</v>
      </c>
      <c r="H483" s="58" t="n">
        <v>0</v>
      </c>
      <c r="I483" s="58" t="n">
        <v>0</v>
      </c>
      <c r="J483" s="58" t="n">
        <v>32</v>
      </c>
      <c r="K483" s="58" t="n">
        <v>28</v>
      </c>
      <c r="L483" s="59" t="n">
        <v>60</v>
      </c>
      <c r="M483" s="58" t="n">
        <v>32</v>
      </c>
      <c r="N483" s="58" t="n">
        <v>28</v>
      </c>
      <c r="O483" s="59" t="n">
        <v>60</v>
      </c>
      <c r="P483" s="52" t="n">
        <f aca="false">+(N483-M483)/O483</f>
        <v>-0.0666666666666667</v>
      </c>
      <c r="Q483" s="2" t="n">
        <v>0</v>
      </c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53" t="s">
        <v>32</v>
      </c>
      <c r="B484" s="144" t="s">
        <v>117</v>
      </c>
      <c r="C484" s="93" t="s">
        <v>111</v>
      </c>
      <c r="D484" s="50" t="n">
        <v>0</v>
      </c>
      <c r="E484" s="50" t="n">
        <v>0</v>
      </c>
      <c r="F484" s="50" t="n">
        <v>0</v>
      </c>
      <c r="G484" s="50" t="n">
        <v>0</v>
      </c>
      <c r="H484" s="50" t="n">
        <v>0</v>
      </c>
      <c r="I484" s="50" t="n">
        <v>0</v>
      </c>
      <c r="J484" s="50" t="n">
        <v>215</v>
      </c>
      <c r="K484" s="50" t="n">
        <v>294</v>
      </c>
      <c r="L484" s="51" t="n">
        <v>509</v>
      </c>
      <c r="M484" s="50" t="n">
        <v>215</v>
      </c>
      <c r="N484" s="50" t="n">
        <v>294</v>
      </c>
      <c r="O484" s="51" t="n">
        <v>509</v>
      </c>
      <c r="P484" s="52" t="n">
        <f aca="false">+(N484-M484)/O484</f>
        <v>0.155206286836935</v>
      </c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53" t="s">
        <v>32</v>
      </c>
      <c r="B485" s="144" t="s">
        <v>118</v>
      </c>
      <c r="C485" s="93" t="s">
        <v>111</v>
      </c>
      <c r="D485" s="50" t="n">
        <v>0</v>
      </c>
      <c r="E485" s="50" t="n">
        <v>0</v>
      </c>
      <c r="F485" s="50" t="n">
        <v>0</v>
      </c>
      <c r="G485" s="50" t="n">
        <v>0</v>
      </c>
      <c r="H485" s="50" t="n">
        <v>0</v>
      </c>
      <c r="I485" s="50" t="n">
        <v>0</v>
      </c>
      <c r="J485" s="73" t="n">
        <v>41</v>
      </c>
      <c r="K485" s="73" t="n">
        <v>47</v>
      </c>
      <c r="L485" s="74" t="n">
        <v>88</v>
      </c>
      <c r="M485" s="73" t="n">
        <v>41</v>
      </c>
      <c r="N485" s="73" t="n">
        <v>47</v>
      </c>
      <c r="O485" s="74" t="n">
        <v>88</v>
      </c>
      <c r="P485" s="52" t="n">
        <f aca="false">+(N485-M485)/O485</f>
        <v>0.0681818181818182</v>
      </c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146" t="s">
        <v>44</v>
      </c>
      <c r="B486" s="147" t="s">
        <v>119</v>
      </c>
      <c r="C486" s="122" t="s">
        <v>111</v>
      </c>
      <c r="D486" s="50" t="n">
        <v>0</v>
      </c>
      <c r="E486" s="50" t="n">
        <v>0</v>
      </c>
      <c r="F486" s="50" t="n">
        <v>0</v>
      </c>
      <c r="G486" s="50" t="n">
        <v>0</v>
      </c>
      <c r="H486" s="50" t="n">
        <v>0</v>
      </c>
      <c r="I486" s="50" t="n">
        <v>0</v>
      </c>
      <c r="J486" s="73" t="n">
        <v>15</v>
      </c>
      <c r="K486" s="73" t="n">
        <v>29</v>
      </c>
      <c r="L486" s="74" t="n">
        <v>44</v>
      </c>
      <c r="M486" s="73" t="n">
        <v>15</v>
      </c>
      <c r="N486" s="73" t="n">
        <v>29</v>
      </c>
      <c r="O486" s="74" t="n">
        <v>44</v>
      </c>
      <c r="P486" s="52" t="n">
        <f aca="false">+(N486-M486)/O486</f>
        <v>0.318181818181818</v>
      </c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109" t="s">
        <v>46</v>
      </c>
      <c r="B487" s="109"/>
      <c r="C487" s="109"/>
      <c r="D487" s="44" t="n">
        <f aca="false">SUM(D478:D486)</f>
        <v>0</v>
      </c>
      <c r="E487" s="44" t="n">
        <f aca="false">SUM(E478:E486)</f>
        <v>0</v>
      </c>
      <c r="F487" s="44" t="n">
        <f aca="false">SUM(F478:F486)</f>
        <v>0</v>
      </c>
      <c r="G487" s="44" t="n">
        <f aca="false">SUM(G478:G486)</f>
        <v>0</v>
      </c>
      <c r="H487" s="44" t="n">
        <f aca="false">SUM(H478:H486)</f>
        <v>0</v>
      </c>
      <c r="I487" s="44" t="n">
        <f aca="false">SUM(I478:I486)</f>
        <v>0</v>
      </c>
      <c r="J487" s="44" t="n">
        <f aca="false">SUM(J478:J486)</f>
        <v>1824</v>
      </c>
      <c r="K487" s="44" t="n">
        <f aca="false">SUM(K478:K486)</f>
        <v>2214</v>
      </c>
      <c r="L487" s="44" t="n">
        <f aca="false">SUM(L478:L486)</f>
        <v>4038</v>
      </c>
      <c r="M487" s="44" t="n">
        <f aca="false">SUM(M478:M486)</f>
        <v>1824</v>
      </c>
      <c r="N487" s="44" t="n">
        <f aca="false">SUM(N478:N486)</f>
        <v>2214</v>
      </c>
      <c r="O487" s="45" t="n">
        <f aca="false">SUM(O478:O486)</f>
        <v>4038</v>
      </c>
      <c r="P487" s="52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31.5" hidden="false" customHeight="true" outlineLevel="0" collapsed="false">
      <c r="A488" s="67"/>
      <c r="B488" s="67"/>
      <c r="C488" s="6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52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68" t="s">
        <v>47</v>
      </c>
      <c r="B489" s="69"/>
      <c r="C489" s="69"/>
      <c r="D489" s="44" t="s">
        <v>23</v>
      </c>
      <c r="E489" s="44" t="s">
        <v>24</v>
      </c>
      <c r="F489" s="44" t="s">
        <v>25</v>
      </c>
      <c r="G489" s="44" t="s">
        <v>23</v>
      </c>
      <c r="H489" s="44" t="s">
        <v>24</v>
      </c>
      <c r="I489" s="44" t="s">
        <v>25</v>
      </c>
      <c r="J489" s="44" t="s">
        <v>23</v>
      </c>
      <c r="K489" s="44" t="s">
        <v>24</v>
      </c>
      <c r="L489" s="44" t="s">
        <v>25</v>
      </c>
      <c r="M489" s="44" t="s">
        <v>23</v>
      </c>
      <c r="N489" s="44" t="s">
        <v>24</v>
      </c>
      <c r="O489" s="45" t="s">
        <v>25</v>
      </c>
      <c r="P489" s="52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92" t="s">
        <v>69</v>
      </c>
      <c r="B490" s="49"/>
      <c r="C490" s="49"/>
      <c r="D490" s="93"/>
      <c r="E490" s="49"/>
      <c r="F490" s="49"/>
      <c r="G490" s="49"/>
      <c r="H490" s="49"/>
      <c r="I490" s="93"/>
      <c r="J490" s="93"/>
      <c r="K490" s="93"/>
      <c r="L490" s="93"/>
      <c r="M490" s="93"/>
      <c r="N490" s="93"/>
      <c r="O490" s="94"/>
      <c r="P490" s="52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95" t="s">
        <v>70</v>
      </c>
      <c r="B491" s="96"/>
      <c r="C491" s="96"/>
      <c r="D491" s="50"/>
      <c r="E491" s="123"/>
      <c r="F491" s="123"/>
      <c r="G491" s="123"/>
      <c r="H491" s="123"/>
      <c r="I491" s="50"/>
      <c r="J491" s="50"/>
      <c r="K491" s="50"/>
      <c r="L491" s="50"/>
      <c r="M491" s="50"/>
      <c r="N491" s="50"/>
      <c r="O491" s="51"/>
      <c r="P491" s="52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97" t="s">
        <v>71</v>
      </c>
      <c r="B492" s="98"/>
      <c r="C492" s="98"/>
      <c r="D492" s="124"/>
      <c r="E492" s="125"/>
      <c r="F492" s="125"/>
      <c r="G492" s="125"/>
      <c r="H492" s="125"/>
      <c r="I492" s="124"/>
      <c r="J492" s="124"/>
      <c r="K492" s="124"/>
      <c r="L492" s="124"/>
      <c r="M492" s="124"/>
      <c r="N492" s="124"/>
      <c r="O492" s="126"/>
      <c r="P492" s="52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109" t="s">
        <v>46</v>
      </c>
      <c r="B493" s="109"/>
      <c r="C493" s="109"/>
      <c r="D493" s="44" t="n">
        <v>0</v>
      </c>
      <c r="E493" s="44" t="n">
        <v>0</v>
      </c>
      <c r="F493" s="44" t="n">
        <v>0</v>
      </c>
      <c r="G493" s="44" t="n">
        <v>0</v>
      </c>
      <c r="H493" s="44" t="n">
        <v>0</v>
      </c>
      <c r="I493" s="44" t="n">
        <v>0</v>
      </c>
      <c r="J493" s="44" t="n">
        <v>0</v>
      </c>
      <c r="K493" s="44" t="n">
        <v>0</v>
      </c>
      <c r="L493" s="44" t="n">
        <v>0</v>
      </c>
      <c r="M493" s="44" t="n">
        <v>0</v>
      </c>
      <c r="N493" s="44" t="n">
        <v>0</v>
      </c>
      <c r="O493" s="45" t="n">
        <v>0</v>
      </c>
      <c r="P493" s="148"/>
      <c r="R493" s="75"/>
      <c r="S493" s="75"/>
      <c r="T493" s="75"/>
      <c r="U493" s="75"/>
      <c r="V493" s="75"/>
      <c r="W493" s="75"/>
      <c r="X493" s="75"/>
      <c r="Y493" s="75"/>
      <c r="Z493" s="75"/>
    </row>
    <row r="494" customFormat="false" ht="31.5" hidden="false" customHeight="true" outlineLevel="0" collapsed="false">
      <c r="A494" s="75"/>
      <c r="B494" s="76"/>
      <c r="C494" s="76"/>
      <c r="D494" s="2"/>
      <c r="E494" s="77"/>
      <c r="F494" s="77"/>
      <c r="G494" s="77"/>
      <c r="H494" s="77"/>
      <c r="I494" s="2"/>
      <c r="J494" s="2"/>
      <c r="K494" s="2"/>
      <c r="L494" s="2"/>
      <c r="M494" s="2"/>
      <c r="N494" s="2"/>
      <c r="O494" s="2"/>
      <c r="P494" s="52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78" t="s">
        <v>48</v>
      </c>
      <c r="B495" s="69"/>
      <c r="C495" s="69"/>
      <c r="D495" s="44" t="s">
        <v>23</v>
      </c>
      <c r="E495" s="44" t="s">
        <v>24</v>
      </c>
      <c r="F495" s="44" t="s">
        <v>25</v>
      </c>
      <c r="G495" s="44" t="s">
        <v>23</v>
      </c>
      <c r="H495" s="44" t="s">
        <v>24</v>
      </c>
      <c r="I495" s="44" t="s">
        <v>25</v>
      </c>
      <c r="J495" s="44" t="s">
        <v>23</v>
      </c>
      <c r="K495" s="44" t="s">
        <v>24</v>
      </c>
      <c r="L495" s="44" t="s">
        <v>25</v>
      </c>
      <c r="M495" s="44" t="s">
        <v>23</v>
      </c>
      <c r="N495" s="44" t="s">
        <v>24</v>
      </c>
      <c r="O495" s="45" t="s">
        <v>25</v>
      </c>
      <c r="P495" s="52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134" t="s">
        <v>120</v>
      </c>
      <c r="B496" s="131" t="s">
        <v>121</v>
      </c>
      <c r="C496" s="93" t="s">
        <v>111</v>
      </c>
      <c r="D496" s="50" t="n">
        <v>0</v>
      </c>
      <c r="E496" s="50" t="n">
        <v>0</v>
      </c>
      <c r="F496" s="50" t="n">
        <v>0</v>
      </c>
      <c r="G496" s="50" t="n">
        <v>0</v>
      </c>
      <c r="H496" s="50" t="n">
        <v>0</v>
      </c>
      <c r="I496" s="50" t="n">
        <v>0</v>
      </c>
      <c r="J496" s="93" t="n">
        <v>144</v>
      </c>
      <c r="K496" s="93" t="n">
        <v>287</v>
      </c>
      <c r="L496" s="93" t="n">
        <v>431</v>
      </c>
      <c r="M496" s="50" t="n">
        <v>144</v>
      </c>
      <c r="N496" s="50" t="n">
        <v>287</v>
      </c>
      <c r="O496" s="51" t="n">
        <v>431</v>
      </c>
      <c r="P496" s="52" t="n">
        <f aca="false">+(N496-M496)/O496</f>
        <v>0.331786542923434</v>
      </c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149" t="s">
        <v>53</v>
      </c>
      <c r="B497" s="63" t="s">
        <v>122</v>
      </c>
      <c r="C497" s="50" t="s">
        <v>111</v>
      </c>
      <c r="D497" s="50" t="n">
        <v>0</v>
      </c>
      <c r="E497" s="50" t="n">
        <v>0</v>
      </c>
      <c r="F497" s="50" t="n">
        <v>0</v>
      </c>
      <c r="G497" s="50" t="n">
        <v>0</v>
      </c>
      <c r="H497" s="50" t="n">
        <v>0</v>
      </c>
      <c r="I497" s="50" t="n">
        <v>0</v>
      </c>
      <c r="J497" s="50" t="n">
        <v>126</v>
      </c>
      <c r="K497" s="50" t="n">
        <v>166</v>
      </c>
      <c r="L497" s="93" t="n">
        <v>292</v>
      </c>
      <c r="M497" s="50" t="n">
        <v>126</v>
      </c>
      <c r="N497" s="50" t="n">
        <v>166</v>
      </c>
      <c r="O497" s="51" t="n">
        <v>292</v>
      </c>
      <c r="P497" s="52" t="n">
        <f aca="false">+(N497-M497)/O497</f>
        <v>0.136986301369863</v>
      </c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149" t="s">
        <v>55</v>
      </c>
      <c r="B498" s="63" t="s">
        <v>122</v>
      </c>
      <c r="C498" s="50" t="s">
        <v>111</v>
      </c>
      <c r="D498" s="50" t="n">
        <v>0</v>
      </c>
      <c r="E498" s="50" t="n">
        <v>0</v>
      </c>
      <c r="F498" s="50" t="n">
        <v>0</v>
      </c>
      <c r="G498" s="50" t="n">
        <v>0</v>
      </c>
      <c r="H498" s="50" t="n">
        <v>0</v>
      </c>
      <c r="I498" s="50" t="n">
        <v>0</v>
      </c>
      <c r="J498" s="50" t="n">
        <v>133</v>
      </c>
      <c r="K498" s="50" t="n">
        <v>167</v>
      </c>
      <c r="L498" s="93" t="n">
        <v>300</v>
      </c>
      <c r="M498" s="50" t="n">
        <v>133</v>
      </c>
      <c r="N498" s="50" t="n">
        <v>167</v>
      </c>
      <c r="O498" s="51" t="n">
        <v>300</v>
      </c>
      <c r="P498" s="52" t="n">
        <f aca="false">+(N498-M498)/O498</f>
        <v>0.113333333333333</v>
      </c>
      <c r="Q498" s="7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149" t="s">
        <v>123</v>
      </c>
      <c r="B499" s="150" t="s">
        <v>124</v>
      </c>
      <c r="C499" s="50" t="s">
        <v>111</v>
      </c>
      <c r="D499" s="50" t="n">
        <v>0</v>
      </c>
      <c r="E499" s="50" t="n">
        <v>0</v>
      </c>
      <c r="F499" s="50" t="n">
        <v>0</v>
      </c>
      <c r="G499" s="50" t="n">
        <v>0</v>
      </c>
      <c r="H499" s="50" t="n">
        <v>0</v>
      </c>
      <c r="I499" s="50" t="n">
        <v>0</v>
      </c>
      <c r="J499" s="50" t="n">
        <v>53</v>
      </c>
      <c r="K499" s="50" t="n">
        <v>59</v>
      </c>
      <c r="L499" s="93" t="n">
        <v>112</v>
      </c>
      <c r="M499" s="50" t="n">
        <v>53</v>
      </c>
      <c r="N499" s="50" t="n">
        <v>59</v>
      </c>
      <c r="O499" s="51" t="n">
        <v>112</v>
      </c>
      <c r="P499" s="52" t="n">
        <f aca="false">+(N499-M499)/O499</f>
        <v>0.0535714285714286</v>
      </c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9.5" hidden="false" customHeight="true" outlineLevel="0" collapsed="false">
      <c r="A500" s="149" t="s">
        <v>125</v>
      </c>
      <c r="B500" s="150" t="s">
        <v>124</v>
      </c>
      <c r="C500" s="50" t="s">
        <v>111</v>
      </c>
      <c r="D500" s="50" t="n">
        <v>0</v>
      </c>
      <c r="E500" s="50" t="n">
        <v>0</v>
      </c>
      <c r="F500" s="50" t="n">
        <v>0</v>
      </c>
      <c r="G500" s="50" t="n">
        <v>0</v>
      </c>
      <c r="H500" s="50" t="n">
        <v>0</v>
      </c>
      <c r="I500" s="50" t="n">
        <v>0</v>
      </c>
      <c r="J500" s="50" t="n">
        <v>21</v>
      </c>
      <c r="K500" s="50" t="n">
        <v>76</v>
      </c>
      <c r="L500" s="93" t="n">
        <v>97</v>
      </c>
      <c r="M500" s="50" t="n">
        <v>21</v>
      </c>
      <c r="N500" s="50" t="n">
        <v>76</v>
      </c>
      <c r="O500" s="51" t="n">
        <v>97</v>
      </c>
      <c r="P500" s="52" t="n">
        <f aca="false">+(N500-M500)/O500</f>
        <v>0.567010309278351</v>
      </c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149" t="s">
        <v>126</v>
      </c>
      <c r="B501" s="63" t="s">
        <v>127</v>
      </c>
      <c r="C501" s="50" t="s">
        <v>111</v>
      </c>
      <c r="D501" s="50" t="n">
        <v>0</v>
      </c>
      <c r="E501" s="50" t="n">
        <v>0</v>
      </c>
      <c r="F501" s="50" t="n">
        <v>0</v>
      </c>
      <c r="G501" s="50" t="n">
        <v>0</v>
      </c>
      <c r="H501" s="50" t="n">
        <v>0</v>
      </c>
      <c r="I501" s="50" t="n">
        <v>0</v>
      </c>
      <c r="J501" s="50" t="n">
        <v>224</v>
      </c>
      <c r="K501" s="50" t="n">
        <v>493</v>
      </c>
      <c r="L501" s="93" t="n">
        <v>717</v>
      </c>
      <c r="M501" s="50" t="n">
        <v>224</v>
      </c>
      <c r="N501" s="50" t="n">
        <v>493</v>
      </c>
      <c r="O501" s="51" t="n">
        <v>717</v>
      </c>
      <c r="P501" s="52" t="n">
        <f aca="false">+(N501-M501)/O501</f>
        <v>0.375174337517434</v>
      </c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149" t="s">
        <v>128</v>
      </c>
      <c r="B502" s="63" t="s">
        <v>127</v>
      </c>
      <c r="C502" s="50" t="s">
        <v>111</v>
      </c>
      <c r="D502" s="50" t="n">
        <v>0</v>
      </c>
      <c r="E502" s="50" t="n">
        <v>0</v>
      </c>
      <c r="F502" s="50" t="n">
        <v>0</v>
      </c>
      <c r="G502" s="50" t="n">
        <v>0</v>
      </c>
      <c r="H502" s="50" t="n">
        <v>0</v>
      </c>
      <c r="I502" s="50" t="n">
        <v>0</v>
      </c>
      <c r="J502" s="50" t="n">
        <v>26</v>
      </c>
      <c r="K502" s="50" t="n">
        <v>131</v>
      </c>
      <c r="L502" s="93" t="n">
        <v>157</v>
      </c>
      <c r="M502" s="50" t="n">
        <v>26</v>
      </c>
      <c r="N502" s="50" t="n">
        <v>131</v>
      </c>
      <c r="O502" s="51" t="n">
        <v>157</v>
      </c>
      <c r="P502" s="52" t="n">
        <f aca="false">+(N502-M502)/O502</f>
        <v>0.668789808917197</v>
      </c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149" t="s">
        <v>129</v>
      </c>
      <c r="B503" s="63" t="s">
        <v>130</v>
      </c>
      <c r="C503" s="50" t="s">
        <v>111</v>
      </c>
      <c r="D503" s="50" t="n">
        <v>0</v>
      </c>
      <c r="E503" s="50" t="n">
        <v>0</v>
      </c>
      <c r="F503" s="50" t="n">
        <v>0</v>
      </c>
      <c r="G503" s="50" t="n">
        <v>0</v>
      </c>
      <c r="H503" s="50" t="n">
        <v>0</v>
      </c>
      <c r="I503" s="50" t="n">
        <v>0</v>
      </c>
      <c r="J503" s="50" t="n">
        <v>13</v>
      </c>
      <c r="K503" s="50" t="n">
        <v>155</v>
      </c>
      <c r="L503" s="93" t="n">
        <v>168</v>
      </c>
      <c r="M503" s="50" t="n">
        <v>13</v>
      </c>
      <c r="N503" s="50" t="n">
        <v>155</v>
      </c>
      <c r="O503" s="51" t="n">
        <v>168</v>
      </c>
      <c r="P503" s="52" t="n">
        <f aca="false">+(N503-M503)/O503</f>
        <v>0.845238095238095</v>
      </c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151" t="s">
        <v>131</v>
      </c>
      <c r="B504" s="82" t="s">
        <v>130</v>
      </c>
      <c r="C504" s="58" t="s">
        <v>111</v>
      </c>
      <c r="D504" s="58" t="n">
        <v>0</v>
      </c>
      <c r="E504" s="58" t="n">
        <v>0</v>
      </c>
      <c r="F504" s="58" t="n">
        <v>0</v>
      </c>
      <c r="G504" s="58" t="n">
        <v>0</v>
      </c>
      <c r="H504" s="58" t="n">
        <v>0</v>
      </c>
      <c r="I504" s="58" t="n">
        <v>0</v>
      </c>
      <c r="J504" s="58" t="n">
        <v>170</v>
      </c>
      <c r="K504" s="58" t="n">
        <v>79</v>
      </c>
      <c r="L504" s="103" t="n">
        <v>249</v>
      </c>
      <c r="M504" s="58" t="n">
        <v>170</v>
      </c>
      <c r="N504" s="58" t="n">
        <v>79</v>
      </c>
      <c r="O504" s="59" t="n">
        <v>249</v>
      </c>
      <c r="P504" s="52" t="n">
        <f aca="false">+(N504-M504)/O504</f>
        <v>-0.365461847389558</v>
      </c>
      <c r="Q504" s="2" t="n">
        <v>0</v>
      </c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151" t="s">
        <v>132</v>
      </c>
      <c r="B505" s="82" t="s">
        <v>130</v>
      </c>
      <c r="C505" s="58" t="s">
        <v>111</v>
      </c>
      <c r="D505" s="58" t="n">
        <v>0</v>
      </c>
      <c r="E505" s="58" t="n">
        <v>0</v>
      </c>
      <c r="F505" s="58" t="n">
        <v>0</v>
      </c>
      <c r="G505" s="58" t="n">
        <v>0</v>
      </c>
      <c r="H505" s="58" t="n">
        <v>0</v>
      </c>
      <c r="I505" s="58" t="n">
        <v>0</v>
      </c>
      <c r="J505" s="58" t="n">
        <v>35</v>
      </c>
      <c r="K505" s="58" t="n">
        <v>30</v>
      </c>
      <c r="L505" s="103" t="n">
        <v>65</v>
      </c>
      <c r="M505" s="58" t="n">
        <v>35</v>
      </c>
      <c r="N505" s="58" t="n">
        <v>30</v>
      </c>
      <c r="O505" s="59" t="n">
        <v>65</v>
      </c>
      <c r="P505" s="60" t="n">
        <f aca="false">+(N505-M505)/O505</f>
        <v>-0.0769230769230769</v>
      </c>
      <c r="Q505" s="61" t="n">
        <v>1</v>
      </c>
      <c r="R505" s="151" t="s">
        <v>132</v>
      </c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149" t="s">
        <v>133</v>
      </c>
      <c r="B506" s="63" t="s">
        <v>134</v>
      </c>
      <c r="C506" s="50" t="s">
        <v>111</v>
      </c>
      <c r="D506" s="50" t="n">
        <v>0</v>
      </c>
      <c r="E506" s="50" t="n">
        <v>0</v>
      </c>
      <c r="F506" s="50" t="n">
        <v>0</v>
      </c>
      <c r="G506" s="50" t="n">
        <v>0</v>
      </c>
      <c r="H506" s="50" t="n">
        <v>0</v>
      </c>
      <c r="I506" s="50" t="n">
        <v>0</v>
      </c>
      <c r="J506" s="50" t="n">
        <v>62</v>
      </c>
      <c r="K506" s="50" t="n">
        <v>84</v>
      </c>
      <c r="L506" s="93" t="n">
        <v>146</v>
      </c>
      <c r="M506" s="50" t="n">
        <v>62</v>
      </c>
      <c r="N506" s="50" t="n">
        <v>84</v>
      </c>
      <c r="O506" s="51" t="n">
        <v>146</v>
      </c>
      <c r="P506" s="52" t="n">
        <f aca="false">+(N506-M506)/O506</f>
        <v>0.150684931506849</v>
      </c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149" t="s">
        <v>135</v>
      </c>
      <c r="B507" s="63" t="s">
        <v>134</v>
      </c>
      <c r="C507" s="50" t="s">
        <v>111</v>
      </c>
      <c r="D507" s="50" t="n">
        <v>0</v>
      </c>
      <c r="E507" s="50" t="n">
        <v>0</v>
      </c>
      <c r="F507" s="50" t="n">
        <v>0</v>
      </c>
      <c r="G507" s="50" t="n">
        <v>0</v>
      </c>
      <c r="H507" s="50" t="n">
        <v>0</v>
      </c>
      <c r="I507" s="50" t="n">
        <v>0</v>
      </c>
      <c r="J507" s="50" t="n">
        <v>5</v>
      </c>
      <c r="K507" s="50" t="n">
        <v>31</v>
      </c>
      <c r="L507" s="93" t="n">
        <v>36</v>
      </c>
      <c r="M507" s="50" t="n">
        <v>5</v>
      </c>
      <c r="N507" s="50" t="n">
        <v>31</v>
      </c>
      <c r="O507" s="51" t="n">
        <v>36</v>
      </c>
      <c r="P507" s="52" t="n">
        <f aca="false">+(N507-M507)/O507</f>
        <v>0.722222222222222</v>
      </c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151" t="s">
        <v>136</v>
      </c>
      <c r="B508" s="82" t="s">
        <v>134</v>
      </c>
      <c r="C508" s="58" t="s">
        <v>111</v>
      </c>
      <c r="D508" s="58" t="n">
        <v>0</v>
      </c>
      <c r="E508" s="58" t="n">
        <v>0</v>
      </c>
      <c r="F508" s="58" t="n">
        <v>0</v>
      </c>
      <c r="G508" s="58" t="n">
        <v>0</v>
      </c>
      <c r="H508" s="58" t="n">
        <v>0</v>
      </c>
      <c r="I508" s="58" t="n">
        <v>0</v>
      </c>
      <c r="J508" s="58" t="n">
        <v>20</v>
      </c>
      <c r="K508" s="58" t="n">
        <v>15</v>
      </c>
      <c r="L508" s="103" t="n">
        <v>35</v>
      </c>
      <c r="M508" s="58" t="n">
        <v>20</v>
      </c>
      <c r="N508" s="58" t="n">
        <v>15</v>
      </c>
      <c r="O508" s="59" t="n">
        <v>35</v>
      </c>
      <c r="P508" s="52" t="n">
        <f aca="false">+(N508-M508)/O508</f>
        <v>-0.142857142857143</v>
      </c>
      <c r="Q508" s="2" t="n">
        <v>0</v>
      </c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149" t="s">
        <v>137</v>
      </c>
      <c r="B509" s="63" t="s">
        <v>134</v>
      </c>
      <c r="C509" s="50" t="s">
        <v>111</v>
      </c>
      <c r="D509" s="50" t="n">
        <v>0</v>
      </c>
      <c r="E509" s="50" t="n">
        <v>0</v>
      </c>
      <c r="F509" s="50" t="n">
        <v>0</v>
      </c>
      <c r="G509" s="50" t="n">
        <v>0</v>
      </c>
      <c r="H509" s="50" t="n">
        <v>0</v>
      </c>
      <c r="I509" s="50" t="n">
        <v>0</v>
      </c>
      <c r="J509" s="50" t="n">
        <v>4</v>
      </c>
      <c r="K509" s="50" t="n">
        <v>8</v>
      </c>
      <c r="L509" s="93" t="n">
        <v>12</v>
      </c>
      <c r="M509" s="50" t="n">
        <v>4</v>
      </c>
      <c r="N509" s="50" t="n">
        <v>8</v>
      </c>
      <c r="O509" s="51" t="n">
        <v>12</v>
      </c>
      <c r="P509" s="52" t="n">
        <f aca="false">+(N509-M509)/O509</f>
        <v>0.333333333333333</v>
      </c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149" t="s">
        <v>138</v>
      </c>
      <c r="B510" s="63" t="s">
        <v>139</v>
      </c>
      <c r="C510" s="50" t="s">
        <v>111</v>
      </c>
      <c r="D510" s="50" t="n">
        <v>0</v>
      </c>
      <c r="E510" s="50" t="n">
        <v>0</v>
      </c>
      <c r="F510" s="50" t="n">
        <v>0</v>
      </c>
      <c r="G510" s="50" t="n">
        <v>0</v>
      </c>
      <c r="H510" s="50" t="n">
        <v>0</v>
      </c>
      <c r="I510" s="50" t="n">
        <v>0</v>
      </c>
      <c r="J510" s="50" t="n">
        <v>109</v>
      </c>
      <c r="K510" s="50" t="n">
        <v>338</v>
      </c>
      <c r="L510" s="93" t="n">
        <v>447</v>
      </c>
      <c r="M510" s="50" t="n">
        <v>109</v>
      </c>
      <c r="N510" s="50" t="n">
        <v>338</v>
      </c>
      <c r="O510" s="51" t="n">
        <v>447</v>
      </c>
      <c r="P510" s="52" t="n">
        <f aca="false">+(N510-M510)/O510</f>
        <v>0.512304250559284</v>
      </c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149" t="s">
        <v>140</v>
      </c>
      <c r="B511" s="63" t="s">
        <v>141</v>
      </c>
      <c r="C511" s="50" t="s">
        <v>111</v>
      </c>
      <c r="D511" s="50" t="n">
        <v>0</v>
      </c>
      <c r="E511" s="50" t="n">
        <v>0</v>
      </c>
      <c r="F511" s="50" t="n">
        <v>0</v>
      </c>
      <c r="G511" s="50" t="n">
        <v>0</v>
      </c>
      <c r="H511" s="50" t="n">
        <v>0</v>
      </c>
      <c r="I511" s="50" t="n">
        <v>0</v>
      </c>
      <c r="J511" s="50" t="n">
        <v>31</v>
      </c>
      <c r="K511" s="50" t="n">
        <v>248</v>
      </c>
      <c r="L511" s="93" t="n">
        <v>279</v>
      </c>
      <c r="M511" s="50" t="n">
        <v>31</v>
      </c>
      <c r="N511" s="50" t="n">
        <v>248</v>
      </c>
      <c r="O511" s="51" t="n">
        <v>279</v>
      </c>
      <c r="P511" s="52" t="n">
        <f aca="false">+(N511-M511)/O511</f>
        <v>0.777777777777778</v>
      </c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149" t="s">
        <v>142</v>
      </c>
      <c r="B512" s="63" t="s">
        <v>143</v>
      </c>
      <c r="C512" s="50" t="s">
        <v>111</v>
      </c>
      <c r="D512" s="50" t="n">
        <v>0</v>
      </c>
      <c r="E512" s="50" t="n">
        <v>0</v>
      </c>
      <c r="F512" s="50" t="n">
        <v>0</v>
      </c>
      <c r="G512" s="50" t="n">
        <v>0</v>
      </c>
      <c r="H512" s="50" t="n">
        <v>0</v>
      </c>
      <c r="I512" s="50" t="n">
        <v>0</v>
      </c>
      <c r="J512" s="50" t="n">
        <v>107</v>
      </c>
      <c r="K512" s="50" t="n">
        <v>399</v>
      </c>
      <c r="L512" s="93" t="n">
        <v>506</v>
      </c>
      <c r="M512" s="50" t="n">
        <v>107</v>
      </c>
      <c r="N512" s="50" t="n">
        <v>399</v>
      </c>
      <c r="O512" s="51" t="n">
        <v>506</v>
      </c>
      <c r="P512" s="52" t="n">
        <f aca="false">+(N512-M512)/O512</f>
        <v>0.577075098814229</v>
      </c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151" t="s">
        <v>144</v>
      </c>
      <c r="B513" s="152" t="s">
        <v>145</v>
      </c>
      <c r="C513" s="58" t="s">
        <v>111</v>
      </c>
      <c r="D513" s="58" t="n">
        <v>0</v>
      </c>
      <c r="E513" s="58" t="n">
        <v>0</v>
      </c>
      <c r="F513" s="58" t="n">
        <v>0</v>
      </c>
      <c r="G513" s="58" t="n">
        <v>0</v>
      </c>
      <c r="H513" s="58" t="n">
        <v>0</v>
      </c>
      <c r="I513" s="58" t="n">
        <v>0</v>
      </c>
      <c r="J513" s="58" t="n">
        <v>9</v>
      </c>
      <c r="K513" s="58" t="n">
        <v>7</v>
      </c>
      <c r="L513" s="103" t="n">
        <v>16</v>
      </c>
      <c r="M513" s="58" t="n">
        <v>9</v>
      </c>
      <c r="N513" s="58" t="n">
        <v>7</v>
      </c>
      <c r="O513" s="59" t="n">
        <v>16</v>
      </c>
      <c r="P513" s="60" t="n">
        <f aca="false">+(N513-M513)/O513</f>
        <v>-0.125</v>
      </c>
      <c r="Q513" s="61" t="n">
        <v>1</v>
      </c>
      <c r="R513" s="151" t="s">
        <v>144</v>
      </c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151" t="s">
        <v>146</v>
      </c>
      <c r="B514" s="152" t="s">
        <v>145</v>
      </c>
      <c r="C514" s="58" t="s">
        <v>111</v>
      </c>
      <c r="D514" s="58" t="n">
        <v>0</v>
      </c>
      <c r="E514" s="58" t="n">
        <v>0</v>
      </c>
      <c r="F514" s="58" t="n">
        <v>0</v>
      </c>
      <c r="G514" s="58" t="n">
        <v>0</v>
      </c>
      <c r="H514" s="58" t="n">
        <v>0</v>
      </c>
      <c r="I514" s="58" t="n">
        <v>0</v>
      </c>
      <c r="J514" s="58" t="n">
        <v>17</v>
      </c>
      <c r="K514" s="58" t="n">
        <v>8</v>
      </c>
      <c r="L514" s="103" t="n">
        <v>25</v>
      </c>
      <c r="M514" s="58" t="n">
        <v>17</v>
      </c>
      <c r="N514" s="58" t="n">
        <v>8</v>
      </c>
      <c r="O514" s="59" t="n">
        <v>25</v>
      </c>
      <c r="P514" s="60" t="n">
        <f aca="false">+(N514-M514)/O514</f>
        <v>-0.36</v>
      </c>
      <c r="Q514" s="61" t="n">
        <v>1</v>
      </c>
      <c r="R514" s="151" t="s">
        <v>146</v>
      </c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149" t="s">
        <v>147</v>
      </c>
      <c r="B515" s="150" t="s">
        <v>145</v>
      </c>
      <c r="C515" s="50" t="s">
        <v>111</v>
      </c>
      <c r="D515" s="50" t="n">
        <v>0</v>
      </c>
      <c r="E515" s="50" t="n">
        <v>0</v>
      </c>
      <c r="F515" s="50" t="n">
        <v>0</v>
      </c>
      <c r="G515" s="50" t="n">
        <v>0</v>
      </c>
      <c r="H515" s="50" t="n">
        <v>0</v>
      </c>
      <c r="I515" s="50" t="n">
        <v>0</v>
      </c>
      <c r="J515" s="50" t="n">
        <v>23</v>
      </c>
      <c r="K515" s="50" t="n">
        <v>27</v>
      </c>
      <c r="L515" s="93" t="n">
        <v>50</v>
      </c>
      <c r="M515" s="50" t="n">
        <v>23</v>
      </c>
      <c r="N515" s="50" t="n">
        <v>27</v>
      </c>
      <c r="O515" s="51" t="n">
        <v>50</v>
      </c>
      <c r="P515" s="52" t="n">
        <f aca="false">+(N515-M515)/O515</f>
        <v>0.08</v>
      </c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151" t="s">
        <v>59</v>
      </c>
      <c r="B516" s="152" t="s">
        <v>148</v>
      </c>
      <c r="C516" s="58" t="s">
        <v>111</v>
      </c>
      <c r="D516" s="58" t="n">
        <v>0</v>
      </c>
      <c r="E516" s="58" t="n">
        <v>0</v>
      </c>
      <c r="F516" s="58" t="n">
        <v>0</v>
      </c>
      <c r="G516" s="58" t="n">
        <v>0</v>
      </c>
      <c r="H516" s="58" t="n">
        <v>0</v>
      </c>
      <c r="I516" s="58" t="n">
        <v>0</v>
      </c>
      <c r="J516" s="58" t="n">
        <v>305</v>
      </c>
      <c r="K516" s="58" t="n">
        <v>78</v>
      </c>
      <c r="L516" s="103" t="n">
        <v>383</v>
      </c>
      <c r="M516" s="58" t="n">
        <v>305</v>
      </c>
      <c r="N516" s="58" t="n">
        <v>78</v>
      </c>
      <c r="O516" s="59" t="n">
        <v>383</v>
      </c>
      <c r="P516" s="60" t="n">
        <f aca="false">+(N516-M516)/O516</f>
        <v>-0.592689295039165</v>
      </c>
      <c r="Q516" s="61" t="n">
        <v>1</v>
      </c>
      <c r="R516" s="151" t="s">
        <v>59</v>
      </c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151" t="s">
        <v>149</v>
      </c>
      <c r="B517" s="152" t="s">
        <v>148</v>
      </c>
      <c r="C517" s="58" t="s">
        <v>111</v>
      </c>
      <c r="D517" s="58" t="n">
        <v>0</v>
      </c>
      <c r="E517" s="58" t="n">
        <v>0</v>
      </c>
      <c r="F517" s="58" t="n">
        <v>0</v>
      </c>
      <c r="G517" s="58" t="n">
        <v>0</v>
      </c>
      <c r="H517" s="58" t="n">
        <v>0</v>
      </c>
      <c r="I517" s="58" t="n">
        <v>0</v>
      </c>
      <c r="J517" s="58" t="n">
        <v>176</v>
      </c>
      <c r="K517" s="58" t="n">
        <v>37</v>
      </c>
      <c r="L517" s="103" t="n">
        <v>213</v>
      </c>
      <c r="M517" s="58" t="n">
        <v>176</v>
      </c>
      <c r="N517" s="58" t="n">
        <v>37</v>
      </c>
      <c r="O517" s="59" t="n">
        <v>213</v>
      </c>
      <c r="P517" s="60" t="n">
        <f aca="false">+(N517-M517)/O517</f>
        <v>-0.652582159624413</v>
      </c>
      <c r="Q517" s="61" t="n">
        <v>1</v>
      </c>
      <c r="R517" s="151" t="s">
        <v>149</v>
      </c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149" t="s">
        <v>150</v>
      </c>
      <c r="B518" s="144" t="s">
        <v>116</v>
      </c>
      <c r="C518" s="50" t="s">
        <v>111</v>
      </c>
      <c r="D518" s="50" t="n">
        <v>0</v>
      </c>
      <c r="E518" s="50" t="n">
        <v>0</v>
      </c>
      <c r="F518" s="50" t="n">
        <v>0</v>
      </c>
      <c r="G518" s="50" t="n">
        <v>0</v>
      </c>
      <c r="H518" s="50" t="n">
        <v>0</v>
      </c>
      <c r="I518" s="50" t="n">
        <v>0</v>
      </c>
      <c r="J518" s="50" t="n">
        <v>19</v>
      </c>
      <c r="K518" s="50" t="n">
        <v>50</v>
      </c>
      <c r="L518" s="93" t="n">
        <v>69</v>
      </c>
      <c r="M518" s="50" t="n">
        <v>19</v>
      </c>
      <c r="N518" s="50" t="n">
        <v>50</v>
      </c>
      <c r="O518" s="51" t="n">
        <v>69</v>
      </c>
      <c r="P518" s="52" t="n">
        <f aca="false">+(N518-M518)/O518</f>
        <v>0.449275362318841</v>
      </c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149" t="s">
        <v>151</v>
      </c>
      <c r="B519" s="144" t="s">
        <v>116</v>
      </c>
      <c r="C519" s="50" t="s">
        <v>111</v>
      </c>
      <c r="D519" s="50" t="n">
        <v>0</v>
      </c>
      <c r="E519" s="50" t="n">
        <v>0</v>
      </c>
      <c r="F519" s="50" t="n">
        <v>0</v>
      </c>
      <c r="G519" s="50" t="n">
        <v>0</v>
      </c>
      <c r="H519" s="50" t="n">
        <v>0</v>
      </c>
      <c r="I519" s="50" t="n">
        <v>0</v>
      </c>
      <c r="J519" s="50" t="n">
        <v>22</v>
      </c>
      <c r="K519" s="50" t="n">
        <v>72</v>
      </c>
      <c r="L519" s="93" t="n">
        <v>94</v>
      </c>
      <c r="M519" s="50" t="n">
        <v>22</v>
      </c>
      <c r="N519" s="50" t="n">
        <v>72</v>
      </c>
      <c r="O519" s="51" t="n">
        <v>94</v>
      </c>
      <c r="P519" s="52" t="n">
        <f aca="false">+(N519-M519)/O519</f>
        <v>0.531914893617021</v>
      </c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151" t="s">
        <v>152</v>
      </c>
      <c r="B520" s="145" t="s">
        <v>116</v>
      </c>
      <c r="C520" s="58" t="s">
        <v>111</v>
      </c>
      <c r="D520" s="58" t="n">
        <v>0</v>
      </c>
      <c r="E520" s="58" t="n">
        <v>0</v>
      </c>
      <c r="F520" s="58" t="n">
        <v>0</v>
      </c>
      <c r="G520" s="58" t="n">
        <v>0</v>
      </c>
      <c r="H520" s="58" t="n">
        <v>0</v>
      </c>
      <c r="I520" s="58" t="n">
        <v>0</v>
      </c>
      <c r="J520" s="58" t="n">
        <v>25</v>
      </c>
      <c r="K520" s="58" t="n">
        <v>17</v>
      </c>
      <c r="L520" s="103" t="n">
        <v>42</v>
      </c>
      <c r="M520" s="58" t="n">
        <v>25</v>
      </c>
      <c r="N520" s="58" t="n">
        <v>17</v>
      </c>
      <c r="O520" s="59" t="n">
        <v>42</v>
      </c>
      <c r="P520" s="52" t="n">
        <f aca="false">+(N520-M520)/O520</f>
        <v>-0.19047619047619</v>
      </c>
      <c r="Q520" s="2" t="n">
        <v>0</v>
      </c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149" t="s">
        <v>153</v>
      </c>
      <c r="B521" s="150" t="s">
        <v>154</v>
      </c>
      <c r="C521" s="50" t="s">
        <v>111</v>
      </c>
      <c r="D521" s="50" t="n">
        <v>0</v>
      </c>
      <c r="E521" s="50" t="n">
        <v>0</v>
      </c>
      <c r="F521" s="50" t="n">
        <v>0</v>
      </c>
      <c r="G521" s="50" t="n">
        <v>0</v>
      </c>
      <c r="H521" s="50" t="n">
        <v>0</v>
      </c>
      <c r="I521" s="50" t="n">
        <v>0</v>
      </c>
      <c r="J521" s="50" t="n">
        <v>84</v>
      </c>
      <c r="K521" s="50" t="n">
        <v>183</v>
      </c>
      <c r="L521" s="93" t="n">
        <v>267</v>
      </c>
      <c r="M521" s="50" t="n">
        <v>84</v>
      </c>
      <c r="N521" s="50" t="n">
        <v>183</v>
      </c>
      <c r="O521" s="51" t="n">
        <v>267</v>
      </c>
      <c r="P521" s="52" t="n">
        <f aca="false">+(N521-M521)/O521</f>
        <v>0.370786516853933</v>
      </c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153" t="s">
        <v>155</v>
      </c>
      <c r="B522" s="154" t="s">
        <v>156</v>
      </c>
      <c r="C522" s="73" t="s">
        <v>111</v>
      </c>
      <c r="D522" s="50" t="n">
        <v>0</v>
      </c>
      <c r="E522" s="50" t="n">
        <v>0</v>
      </c>
      <c r="F522" s="50" t="n">
        <v>0</v>
      </c>
      <c r="G522" s="73" t="n">
        <v>0</v>
      </c>
      <c r="H522" s="73" t="n">
        <v>0</v>
      </c>
      <c r="I522" s="73" t="n">
        <v>0</v>
      </c>
      <c r="J522" s="73" t="n">
        <v>77</v>
      </c>
      <c r="K522" s="73" t="n">
        <v>129</v>
      </c>
      <c r="L522" s="122" t="n">
        <v>206</v>
      </c>
      <c r="M522" s="73" t="n">
        <v>77</v>
      </c>
      <c r="N522" s="73" t="n">
        <v>129</v>
      </c>
      <c r="O522" s="74" t="n">
        <v>206</v>
      </c>
      <c r="P522" s="52" t="n">
        <f aca="false">+(N522-M522)/O522</f>
        <v>0.252427184466019</v>
      </c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109" t="s">
        <v>46</v>
      </c>
      <c r="B523" s="109"/>
      <c r="C523" s="109"/>
      <c r="D523" s="44" t="n">
        <f aca="false">SUM(D496:D522)</f>
        <v>0</v>
      </c>
      <c r="E523" s="44" t="n">
        <f aca="false">SUM(E496:E522)</f>
        <v>0</v>
      </c>
      <c r="F523" s="44" t="n">
        <f aca="false">SUM(F496:F522)</f>
        <v>0</v>
      </c>
      <c r="G523" s="44" t="n">
        <f aca="false">SUM(G496:G522)</f>
        <v>0</v>
      </c>
      <c r="H523" s="44" t="n">
        <f aca="false">SUM(H496:H522)</f>
        <v>0</v>
      </c>
      <c r="I523" s="44" t="n">
        <f aca="false">SUM(I496:I522)</f>
        <v>0</v>
      </c>
      <c r="J523" s="44" t="n">
        <f aca="false">SUM(J496:J522)</f>
        <v>2040</v>
      </c>
      <c r="K523" s="44" t="n">
        <f aca="false">SUM(K496:K522)</f>
        <v>3374</v>
      </c>
      <c r="L523" s="44" t="n">
        <f aca="false">SUM(L496:L522)</f>
        <v>5414</v>
      </c>
      <c r="M523" s="44" t="n">
        <f aca="false">SUM(M496:M522)</f>
        <v>2040</v>
      </c>
      <c r="N523" s="44" t="n">
        <f aca="false">SUM(N496:N522)</f>
        <v>3374</v>
      </c>
      <c r="O523" s="45" t="n">
        <f aca="false">SUM(O496:O522)</f>
        <v>5414</v>
      </c>
      <c r="P523" s="52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24" hidden="false" customHeight="true" outlineLevel="0" collapsed="false">
      <c r="A524" s="75"/>
      <c r="B524" s="76"/>
      <c r="C524" s="4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52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78" t="s">
        <v>68</v>
      </c>
      <c r="B525" s="89"/>
      <c r="C525" s="89"/>
      <c r="D525" s="44" t="s">
        <v>23</v>
      </c>
      <c r="E525" s="44" t="s">
        <v>24</v>
      </c>
      <c r="F525" s="44" t="s">
        <v>25</v>
      </c>
      <c r="G525" s="44" t="s">
        <v>23</v>
      </c>
      <c r="H525" s="44" t="s">
        <v>24</v>
      </c>
      <c r="I525" s="44" t="s">
        <v>25</v>
      </c>
      <c r="J525" s="44" t="s">
        <v>23</v>
      </c>
      <c r="K525" s="44" t="s">
        <v>24</v>
      </c>
      <c r="L525" s="44" t="s">
        <v>25</v>
      </c>
      <c r="M525" s="44" t="s">
        <v>23</v>
      </c>
      <c r="N525" s="44" t="s">
        <v>24</v>
      </c>
      <c r="O525" s="45" t="s">
        <v>25</v>
      </c>
      <c r="P525" s="90"/>
      <c r="R525" s="91"/>
      <c r="S525" s="91"/>
      <c r="T525" s="91"/>
      <c r="U525" s="91"/>
      <c r="V525" s="91"/>
      <c r="W525" s="91"/>
      <c r="X525" s="91"/>
      <c r="Y525" s="91"/>
      <c r="Z525" s="91"/>
    </row>
    <row r="526" customFormat="false" ht="15.75" hidden="false" customHeight="true" outlineLevel="0" collapsed="false">
      <c r="A526" s="104" t="s">
        <v>157</v>
      </c>
      <c r="B526" s="63" t="s">
        <v>158</v>
      </c>
      <c r="C526" s="50" t="s">
        <v>159</v>
      </c>
      <c r="D526" s="50" t="n">
        <v>1</v>
      </c>
      <c r="E526" s="50" t="n">
        <v>0</v>
      </c>
      <c r="F526" s="50" t="n">
        <v>1</v>
      </c>
      <c r="G526" s="50" t="n">
        <v>1</v>
      </c>
      <c r="H526" s="50" t="n">
        <v>0</v>
      </c>
      <c r="I526" s="50" t="n">
        <v>1</v>
      </c>
      <c r="J526" s="50" t="n">
        <v>5</v>
      </c>
      <c r="K526" s="50" t="n">
        <v>8</v>
      </c>
      <c r="L526" s="50" t="n">
        <v>13</v>
      </c>
      <c r="M526" s="50" t="n">
        <f aca="false">SUM(G526+J526)</f>
        <v>6</v>
      </c>
      <c r="N526" s="50" t="n">
        <f aca="false">SUM(H526+K526)</f>
        <v>8</v>
      </c>
      <c r="O526" s="51" t="n">
        <v>14</v>
      </c>
      <c r="P526" s="52" t="n">
        <f aca="false">+(N526-M526)/O526</f>
        <v>0.142857142857143</v>
      </c>
      <c r="R526" s="91"/>
      <c r="S526" s="91"/>
      <c r="T526" s="91"/>
      <c r="U526" s="91"/>
      <c r="V526" s="91"/>
      <c r="W526" s="91"/>
      <c r="X526" s="91"/>
      <c r="Y526" s="91"/>
      <c r="Z526" s="91"/>
    </row>
    <row r="527" customFormat="false" ht="15.75" hidden="false" customHeight="true" outlineLevel="0" collapsed="false">
      <c r="A527" s="155" t="s">
        <v>160</v>
      </c>
      <c r="B527" s="82" t="s">
        <v>158</v>
      </c>
      <c r="C527" s="58" t="s">
        <v>159</v>
      </c>
      <c r="D527" s="58" t="n">
        <v>2</v>
      </c>
      <c r="E527" s="58" t="n">
        <v>2</v>
      </c>
      <c r="F527" s="58" t="n">
        <v>4</v>
      </c>
      <c r="G527" s="58" t="n">
        <v>2</v>
      </c>
      <c r="H527" s="58" t="n">
        <v>2</v>
      </c>
      <c r="I527" s="58" t="n">
        <v>4</v>
      </c>
      <c r="J527" s="58" t="n">
        <v>2</v>
      </c>
      <c r="K527" s="58" t="n">
        <v>1</v>
      </c>
      <c r="L527" s="58" t="n">
        <v>3</v>
      </c>
      <c r="M527" s="58" t="n">
        <f aca="false">SUM(G527+J527)</f>
        <v>4</v>
      </c>
      <c r="N527" s="58" t="n">
        <f aca="false">SUM(H527+K527)</f>
        <v>3</v>
      </c>
      <c r="O527" s="59" t="n">
        <v>7</v>
      </c>
      <c r="P527" s="52" t="n">
        <f aca="false">+(N527-M527)/O527</f>
        <v>-0.142857142857143</v>
      </c>
      <c r="Q527" s="2" t="n">
        <v>0</v>
      </c>
      <c r="R527" s="91"/>
      <c r="S527" s="91"/>
      <c r="T527" s="91"/>
      <c r="U527" s="91"/>
      <c r="V527" s="91"/>
      <c r="W527" s="91"/>
      <c r="X527" s="91"/>
      <c r="Y527" s="91"/>
      <c r="Z527" s="91"/>
    </row>
    <row r="528" customFormat="false" ht="15.75" hidden="false" customHeight="true" outlineLevel="0" collapsed="false">
      <c r="A528" s="155" t="s">
        <v>161</v>
      </c>
      <c r="B528" s="82" t="s">
        <v>158</v>
      </c>
      <c r="C528" s="58" t="s">
        <v>159</v>
      </c>
      <c r="D528" s="58" t="n">
        <v>0</v>
      </c>
      <c r="E528" s="58" t="n">
        <v>0</v>
      </c>
      <c r="F528" s="58" t="n">
        <v>0</v>
      </c>
      <c r="G528" s="58" t="n">
        <v>0</v>
      </c>
      <c r="H528" s="58" t="n">
        <v>0</v>
      </c>
      <c r="I528" s="58" t="n">
        <v>0</v>
      </c>
      <c r="J528" s="58" t="n">
        <v>1</v>
      </c>
      <c r="K528" s="58" t="n">
        <v>0</v>
      </c>
      <c r="L528" s="58" t="n">
        <v>1</v>
      </c>
      <c r="M528" s="58" t="n">
        <f aca="false">SUM(G528+J528)</f>
        <v>1</v>
      </c>
      <c r="N528" s="58" t="n">
        <f aca="false">SUM(H528+K528)</f>
        <v>0</v>
      </c>
      <c r="O528" s="59" t="n">
        <v>1</v>
      </c>
      <c r="P528" s="52" t="n">
        <f aca="false">+(N528-M528)/O528</f>
        <v>-1</v>
      </c>
      <c r="Q528" s="2" t="n">
        <v>0</v>
      </c>
      <c r="R528" s="91"/>
      <c r="S528" s="91"/>
      <c r="T528" s="91"/>
      <c r="U528" s="91"/>
      <c r="V528" s="91"/>
      <c r="W528" s="91"/>
      <c r="X528" s="91"/>
      <c r="Y528" s="91"/>
      <c r="Z528" s="91"/>
    </row>
    <row r="529" customFormat="false" ht="15.75" hidden="false" customHeight="true" outlineLevel="0" collapsed="false">
      <c r="A529" s="104" t="s">
        <v>162</v>
      </c>
      <c r="B529" s="63" t="s">
        <v>158</v>
      </c>
      <c r="C529" s="50" t="s">
        <v>111</v>
      </c>
      <c r="D529" s="50" t="n">
        <v>0</v>
      </c>
      <c r="E529" s="50" t="n">
        <v>0</v>
      </c>
      <c r="F529" s="50" t="n">
        <v>0</v>
      </c>
      <c r="G529" s="50" t="n">
        <v>0</v>
      </c>
      <c r="H529" s="50" t="n">
        <v>0</v>
      </c>
      <c r="I529" s="50" t="n">
        <v>0</v>
      </c>
      <c r="J529" s="50" t="n">
        <v>1</v>
      </c>
      <c r="K529" s="50" t="n">
        <v>2</v>
      </c>
      <c r="L529" s="50" t="n">
        <v>3</v>
      </c>
      <c r="M529" s="50" t="n">
        <f aca="false">SUM(G529+J529)</f>
        <v>1</v>
      </c>
      <c r="N529" s="50" t="n">
        <f aca="false">SUM(H529+K529)</f>
        <v>2</v>
      </c>
      <c r="O529" s="51" t="n">
        <v>3</v>
      </c>
      <c r="P529" s="52" t="n">
        <f aca="false">+(N529-M529)/O529</f>
        <v>0.333333333333333</v>
      </c>
      <c r="R529" s="91"/>
      <c r="S529" s="91"/>
      <c r="T529" s="91"/>
      <c r="U529" s="91"/>
      <c r="V529" s="91"/>
      <c r="W529" s="91"/>
      <c r="X529" s="91"/>
      <c r="Y529" s="91"/>
      <c r="Z529" s="91"/>
    </row>
    <row r="530" customFormat="false" ht="15.75" hidden="false" customHeight="true" outlineLevel="0" collapsed="false">
      <c r="A530" s="104" t="s">
        <v>163</v>
      </c>
      <c r="B530" s="63" t="s">
        <v>158</v>
      </c>
      <c r="C530" s="50" t="s">
        <v>111</v>
      </c>
      <c r="D530" s="50" t="n">
        <v>3</v>
      </c>
      <c r="E530" s="50" t="n">
        <v>2</v>
      </c>
      <c r="F530" s="50" t="n">
        <v>5</v>
      </c>
      <c r="G530" s="73" t="n">
        <v>3</v>
      </c>
      <c r="H530" s="73" t="n">
        <v>2</v>
      </c>
      <c r="I530" s="50" t="n">
        <v>5</v>
      </c>
      <c r="J530" s="73" t="n">
        <v>6</v>
      </c>
      <c r="K530" s="73" t="n">
        <v>7</v>
      </c>
      <c r="L530" s="50" t="n">
        <v>13</v>
      </c>
      <c r="M530" s="50" t="n">
        <f aca="false">SUM(G530+J530)</f>
        <v>9</v>
      </c>
      <c r="N530" s="50" t="n">
        <f aca="false">SUM(H530+K530)</f>
        <v>9</v>
      </c>
      <c r="O530" s="51" t="n">
        <v>18</v>
      </c>
      <c r="P530" s="52" t="n">
        <f aca="false">+(N530-M530)/O530</f>
        <v>0</v>
      </c>
      <c r="R530" s="91"/>
      <c r="S530" s="91"/>
      <c r="T530" s="91"/>
      <c r="U530" s="91"/>
      <c r="V530" s="91"/>
      <c r="W530" s="91"/>
      <c r="X530" s="91"/>
      <c r="Y530" s="91"/>
      <c r="Z530" s="91"/>
    </row>
    <row r="531" customFormat="false" ht="15.75" hidden="false" customHeight="true" outlineLevel="0" collapsed="false">
      <c r="A531" s="104" t="s">
        <v>164</v>
      </c>
      <c r="B531" s="63" t="s">
        <v>158</v>
      </c>
      <c r="C531" s="50" t="s">
        <v>111</v>
      </c>
      <c r="D531" s="50" t="n">
        <v>0</v>
      </c>
      <c r="E531" s="50" t="n">
        <v>0</v>
      </c>
      <c r="F531" s="50" t="n">
        <v>0</v>
      </c>
      <c r="G531" s="73" t="n">
        <v>0</v>
      </c>
      <c r="H531" s="73" t="n">
        <v>0</v>
      </c>
      <c r="I531" s="50" t="n">
        <v>0</v>
      </c>
      <c r="J531" s="73" t="n">
        <v>2</v>
      </c>
      <c r="K531" s="73" t="n">
        <v>4</v>
      </c>
      <c r="L531" s="50" t="n">
        <v>6</v>
      </c>
      <c r="M531" s="50" t="n">
        <f aca="false">SUM(G531+J531)</f>
        <v>2</v>
      </c>
      <c r="N531" s="50" t="n">
        <f aca="false">SUM(H531+K531)</f>
        <v>4</v>
      </c>
      <c r="O531" s="51" t="n">
        <v>6</v>
      </c>
      <c r="P531" s="52" t="n">
        <f aca="false">+(N531-M531)/O531</f>
        <v>0.333333333333333</v>
      </c>
      <c r="R531" s="91"/>
      <c r="S531" s="91"/>
      <c r="T531" s="91"/>
      <c r="U531" s="91"/>
      <c r="V531" s="91"/>
      <c r="W531" s="91"/>
      <c r="X531" s="91"/>
      <c r="Y531" s="91"/>
      <c r="Z531" s="91"/>
    </row>
    <row r="532" customFormat="false" ht="15.75" hidden="false" customHeight="true" outlineLevel="0" collapsed="false">
      <c r="A532" s="155" t="s">
        <v>165</v>
      </c>
      <c r="B532" s="82" t="s">
        <v>158</v>
      </c>
      <c r="C532" s="58" t="s">
        <v>111</v>
      </c>
      <c r="D532" s="58" t="n">
        <v>1</v>
      </c>
      <c r="E532" s="58" t="n">
        <v>0</v>
      </c>
      <c r="F532" s="58" t="n">
        <v>1</v>
      </c>
      <c r="G532" s="108" t="n">
        <v>1</v>
      </c>
      <c r="H532" s="108" t="n">
        <v>0</v>
      </c>
      <c r="I532" s="58" t="n">
        <v>1</v>
      </c>
      <c r="J532" s="108" t="n">
        <v>15</v>
      </c>
      <c r="K532" s="108" t="n">
        <v>3</v>
      </c>
      <c r="L532" s="58" t="n">
        <v>18</v>
      </c>
      <c r="M532" s="58" t="n">
        <f aca="false">SUM(G532+J532)</f>
        <v>16</v>
      </c>
      <c r="N532" s="58" t="n">
        <f aca="false">SUM(H532+K532)</f>
        <v>3</v>
      </c>
      <c r="O532" s="59" t="n">
        <v>19</v>
      </c>
      <c r="P532" s="52" t="n">
        <f aca="false">+(N532-M532)/O532</f>
        <v>-0.68421052631579</v>
      </c>
      <c r="Q532" s="2" t="n">
        <v>0</v>
      </c>
      <c r="R532" s="91"/>
      <c r="S532" s="91"/>
      <c r="T532" s="91"/>
      <c r="U532" s="91"/>
      <c r="V532" s="91"/>
      <c r="W532" s="91"/>
      <c r="X532" s="91"/>
      <c r="Y532" s="91"/>
      <c r="Z532" s="91"/>
    </row>
    <row r="533" customFormat="false" ht="15.75" hidden="false" customHeight="true" outlineLevel="0" collapsed="false">
      <c r="A533" s="104" t="s">
        <v>166</v>
      </c>
      <c r="B533" s="63" t="s">
        <v>158</v>
      </c>
      <c r="C533" s="50" t="s">
        <v>111</v>
      </c>
      <c r="D533" s="50" t="n">
        <v>0</v>
      </c>
      <c r="E533" s="50" t="n">
        <v>0</v>
      </c>
      <c r="F533" s="50" t="n">
        <v>0</v>
      </c>
      <c r="G533" s="73" t="n">
        <v>0</v>
      </c>
      <c r="H533" s="73" t="n">
        <v>0</v>
      </c>
      <c r="I533" s="50" t="n">
        <v>0</v>
      </c>
      <c r="J533" s="73" t="n">
        <v>3</v>
      </c>
      <c r="K533" s="73" t="n">
        <v>4</v>
      </c>
      <c r="L533" s="50" t="n">
        <v>7</v>
      </c>
      <c r="M533" s="50" t="n">
        <f aca="false">SUM(G533+J533)</f>
        <v>3</v>
      </c>
      <c r="N533" s="50" t="n">
        <f aca="false">SUM(H533+K533)</f>
        <v>4</v>
      </c>
      <c r="O533" s="51" t="n">
        <v>7</v>
      </c>
      <c r="P533" s="52" t="n">
        <f aca="false">+(N533-M533)/O533</f>
        <v>0.142857142857143</v>
      </c>
      <c r="R533" s="91"/>
      <c r="S533" s="91"/>
      <c r="T533" s="91"/>
      <c r="U533" s="91"/>
      <c r="V533" s="91"/>
      <c r="W533" s="91"/>
      <c r="X533" s="91"/>
      <c r="Y533" s="91"/>
      <c r="Z533" s="91"/>
    </row>
    <row r="534" customFormat="false" ht="15.75" hidden="false" customHeight="true" outlineLevel="0" collapsed="false">
      <c r="A534" s="104" t="s">
        <v>167</v>
      </c>
      <c r="B534" s="63" t="s">
        <v>158</v>
      </c>
      <c r="C534" s="50" t="s">
        <v>111</v>
      </c>
      <c r="D534" s="50" t="n">
        <v>0</v>
      </c>
      <c r="E534" s="50" t="n">
        <v>0</v>
      </c>
      <c r="F534" s="50" t="n">
        <v>0</v>
      </c>
      <c r="G534" s="73" t="n">
        <v>0</v>
      </c>
      <c r="H534" s="73" t="n">
        <v>0</v>
      </c>
      <c r="I534" s="50" t="n">
        <v>0</v>
      </c>
      <c r="J534" s="73" t="n">
        <v>0</v>
      </c>
      <c r="K534" s="73" t="n">
        <v>1</v>
      </c>
      <c r="L534" s="50" t="n">
        <v>1</v>
      </c>
      <c r="M534" s="50" t="n">
        <f aca="false">SUM(G534+J534)</f>
        <v>0</v>
      </c>
      <c r="N534" s="50" t="n">
        <f aca="false">SUM(H534+K534)</f>
        <v>1</v>
      </c>
      <c r="O534" s="51" t="n">
        <v>1</v>
      </c>
      <c r="P534" s="52" t="n">
        <f aca="false">+(N534-M534)/O534</f>
        <v>1</v>
      </c>
      <c r="R534" s="91"/>
      <c r="S534" s="91"/>
      <c r="T534" s="91"/>
      <c r="U534" s="91"/>
      <c r="V534" s="91"/>
      <c r="W534" s="91"/>
      <c r="X534" s="91"/>
      <c r="Y534" s="91"/>
      <c r="Z534" s="91"/>
    </row>
    <row r="535" customFormat="false" ht="15.75" hidden="false" customHeight="true" outlineLevel="0" collapsed="false">
      <c r="A535" s="104" t="s">
        <v>168</v>
      </c>
      <c r="B535" s="63" t="s">
        <v>158</v>
      </c>
      <c r="C535" s="50" t="s">
        <v>111</v>
      </c>
      <c r="D535" s="50" t="n">
        <v>1</v>
      </c>
      <c r="E535" s="50" t="n">
        <v>0</v>
      </c>
      <c r="F535" s="50" t="n">
        <v>1</v>
      </c>
      <c r="G535" s="73" t="n">
        <v>1</v>
      </c>
      <c r="H535" s="73" t="n">
        <v>0</v>
      </c>
      <c r="I535" s="50" t="n">
        <v>1</v>
      </c>
      <c r="J535" s="73" t="n">
        <v>3</v>
      </c>
      <c r="K535" s="73" t="n">
        <v>4</v>
      </c>
      <c r="L535" s="50" t="n">
        <v>7</v>
      </c>
      <c r="M535" s="50" t="n">
        <f aca="false">SUM(G535+J535)</f>
        <v>4</v>
      </c>
      <c r="N535" s="50" t="n">
        <f aca="false">SUM(H535+K535)</f>
        <v>4</v>
      </c>
      <c r="O535" s="51" t="n">
        <v>8</v>
      </c>
      <c r="P535" s="52" t="n">
        <f aca="false">+(N535-M535)/O535</f>
        <v>0</v>
      </c>
      <c r="R535" s="91"/>
      <c r="S535" s="91"/>
      <c r="T535" s="91"/>
      <c r="U535" s="91"/>
      <c r="V535" s="91"/>
      <c r="W535" s="91"/>
      <c r="X535" s="91"/>
      <c r="Y535" s="91"/>
      <c r="Z535" s="91"/>
    </row>
    <row r="536" customFormat="false" ht="15.75" hidden="false" customHeight="true" outlineLevel="0" collapsed="false">
      <c r="A536" s="155" t="s">
        <v>169</v>
      </c>
      <c r="B536" s="82" t="s">
        <v>158</v>
      </c>
      <c r="C536" s="58" t="s">
        <v>111</v>
      </c>
      <c r="D536" s="58" t="n">
        <v>0</v>
      </c>
      <c r="E536" s="58" t="n">
        <v>0</v>
      </c>
      <c r="F536" s="58" t="n">
        <v>0</v>
      </c>
      <c r="G536" s="108" t="n">
        <v>0</v>
      </c>
      <c r="H536" s="108" t="n">
        <v>0</v>
      </c>
      <c r="I536" s="58" t="n">
        <v>0</v>
      </c>
      <c r="J536" s="108" t="n">
        <v>1</v>
      </c>
      <c r="K536" s="108" t="n">
        <v>0</v>
      </c>
      <c r="L536" s="58" t="n">
        <v>1</v>
      </c>
      <c r="M536" s="58" t="n">
        <f aca="false">SUM(G536+J536)</f>
        <v>1</v>
      </c>
      <c r="N536" s="58" t="n">
        <f aca="false">SUM(H536+K536)</f>
        <v>0</v>
      </c>
      <c r="O536" s="59" t="n">
        <v>1</v>
      </c>
      <c r="P536" s="52" t="n">
        <f aca="false">+(N536-M536)/O536</f>
        <v>-1</v>
      </c>
      <c r="Q536" s="5" t="n">
        <v>0</v>
      </c>
      <c r="R536" s="91"/>
      <c r="S536" s="91"/>
      <c r="T536" s="91"/>
      <c r="U536" s="91"/>
      <c r="V536" s="91"/>
      <c r="W536" s="91"/>
      <c r="X536" s="91"/>
      <c r="Y536" s="91"/>
      <c r="Z536" s="91"/>
    </row>
    <row r="537" customFormat="false" ht="15.75" hidden="false" customHeight="true" outlineLevel="0" collapsed="false">
      <c r="A537" s="104" t="s">
        <v>170</v>
      </c>
      <c r="B537" s="63" t="s">
        <v>158</v>
      </c>
      <c r="C537" s="50" t="s">
        <v>111</v>
      </c>
      <c r="D537" s="50" t="n">
        <v>0</v>
      </c>
      <c r="E537" s="50" t="n">
        <v>0</v>
      </c>
      <c r="F537" s="50" t="n">
        <v>0</v>
      </c>
      <c r="G537" s="73" t="n">
        <v>0</v>
      </c>
      <c r="H537" s="73" t="n">
        <v>0</v>
      </c>
      <c r="I537" s="50" t="n">
        <v>0</v>
      </c>
      <c r="J537" s="73" t="n">
        <v>2</v>
      </c>
      <c r="K537" s="73" t="n">
        <v>4</v>
      </c>
      <c r="L537" s="50" t="n">
        <v>6</v>
      </c>
      <c r="M537" s="50" t="n">
        <f aca="false">SUM(G537+J537)</f>
        <v>2</v>
      </c>
      <c r="N537" s="50" t="n">
        <f aca="false">SUM(H537+K537)</f>
        <v>4</v>
      </c>
      <c r="O537" s="51" t="n">
        <v>6</v>
      </c>
      <c r="P537" s="52" t="n">
        <f aca="false">+(N537-M537)/O537</f>
        <v>0.333333333333333</v>
      </c>
      <c r="R537" s="91"/>
      <c r="S537" s="91"/>
      <c r="T537" s="91"/>
      <c r="U537" s="91"/>
      <c r="V537" s="91"/>
      <c r="W537" s="91"/>
      <c r="X537" s="91"/>
      <c r="Y537" s="91"/>
      <c r="Z537" s="91"/>
    </row>
    <row r="538" customFormat="false" ht="15.75" hidden="false" customHeight="true" outlineLevel="0" collapsed="false">
      <c r="A538" s="106" t="s">
        <v>171</v>
      </c>
      <c r="B538" s="82" t="s">
        <v>158</v>
      </c>
      <c r="C538" s="108" t="s">
        <v>111</v>
      </c>
      <c r="D538" s="58" t="n">
        <v>5</v>
      </c>
      <c r="E538" s="58" t="n">
        <v>0</v>
      </c>
      <c r="F538" s="58" t="n">
        <v>5</v>
      </c>
      <c r="G538" s="108" t="n">
        <v>5</v>
      </c>
      <c r="H538" s="108" t="n">
        <v>0</v>
      </c>
      <c r="I538" s="108" t="n">
        <v>5</v>
      </c>
      <c r="J538" s="108" t="n">
        <v>0</v>
      </c>
      <c r="K538" s="108" t="n">
        <v>0</v>
      </c>
      <c r="L538" s="108" t="n">
        <v>0</v>
      </c>
      <c r="M538" s="58" t="n">
        <f aca="false">SUM(G538+J538)</f>
        <v>5</v>
      </c>
      <c r="N538" s="58" t="n">
        <f aca="false">SUM(H538+K538)</f>
        <v>0</v>
      </c>
      <c r="O538" s="156" t="n">
        <v>5</v>
      </c>
      <c r="P538" s="52" t="n">
        <f aca="false">+(N538-M538)/O538</f>
        <v>-1</v>
      </c>
      <c r="Q538" s="2" t="n">
        <v>0</v>
      </c>
      <c r="R538" s="91"/>
      <c r="S538" s="91"/>
      <c r="T538" s="91"/>
      <c r="U538" s="91"/>
      <c r="V538" s="91"/>
      <c r="W538" s="91"/>
      <c r="X538" s="91"/>
      <c r="Y538" s="91"/>
      <c r="Z538" s="91"/>
    </row>
    <row r="539" customFormat="false" ht="15.75" hidden="false" customHeight="true" outlineLevel="0" collapsed="false">
      <c r="A539" s="157" t="s">
        <v>172</v>
      </c>
      <c r="B539" s="63" t="s">
        <v>139</v>
      </c>
      <c r="C539" s="73" t="s">
        <v>111</v>
      </c>
      <c r="D539" s="50" t="n">
        <v>4</v>
      </c>
      <c r="E539" s="50" t="n">
        <v>30</v>
      </c>
      <c r="F539" s="50" t="n">
        <v>34</v>
      </c>
      <c r="G539" s="73" t="n">
        <v>4</v>
      </c>
      <c r="H539" s="73" t="n">
        <v>30</v>
      </c>
      <c r="I539" s="73" t="n">
        <v>34</v>
      </c>
      <c r="J539" s="73" t="n">
        <v>0</v>
      </c>
      <c r="K539" s="73" t="n">
        <v>0</v>
      </c>
      <c r="L539" s="73" t="n">
        <v>0</v>
      </c>
      <c r="M539" s="50" t="n">
        <f aca="false">SUM(G539+J539)</f>
        <v>4</v>
      </c>
      <c r="N539" s="50" t="n">
        <f aca="false">SUM(H539+K539)</f>
        <v>30</v>
      </c>
      <c r="O539" s="74" t="n">
        <v>34</v>
      </c>
      <c r="P539" s="52" t="n">
        <f aca="false">+(N539-M539)/O539</f>
        <v>0.764705882352941</v>
      </c>
      <c r="R539" s="91"/>
      <c r="S539" s="91"/>
      <c r="T539" s="91"/>
      <c r="U539" s="91"/>
      <c r="V539" s="91"/>
      <c r="W539" s="91"/>
      <c r="X539" s="91"/>
      <c r="Y539" s="91"/>
      <c r="Z539" s="91"/>
    </row>
    <row r="540" customFormat="false" ht="15.75" hidden="false" customHeight="true" outlineLevel="0" collapsed="false">
      <c r="A540" s="109" t="s">
        <v>46</v>
      </c>
      <c r="B540" s="109"/>
      <c r="C540" s="109"/>
      <c r="D540" s="44" t="n">
        <f aca="false">SUM(D526:D539)</f>
        <v>17</v>
      </c>
      <c r="E540" s="44" t="n">
        <f aca="false">SUM(E526:E539)</f>
        <v>34</v>
      </c>
      <c r="F540" s="44" t="n">
        <f aca="false">SUM(F526:F539)</f>
        <v>51</v>
      </c>
      <c r="G540" s="44" t="n">
        <f aca="false">SUM(G526:G539)</f>
        <v>17</v>
      </c>
      <c r="H540" s="44" t="n">
        <f aca="false">SUM(H526:H539)</f>
        <v>34</v>
      </c>
      <c r="I540" s="44" t="n">
        <f aca="false">SUM(I526:I539)</f>
        <v>51</v>
      </c>
      <c r="J540" s="44" t="n">
        <f aca="false">SUM(J526:J539)</f>
        <v>41</v>
      </c>
      <c r="K540" s="44" t="n">
        <f aca="false">SUM(K526:K539)</f>
        <v>38</v>
      </c>
      <c r="L540" s="44" t="n">
        <f aca="false">SUM(L526:L539)</f>
        <v>79</v>
      </c>
      <c r="M540" s="44" t="n">
        <f aca="false">SUM(M526:M539)</f>
        <v>58</v>
      </c>
      <c r="N540" s="44" t="n">
        <f aca="false">SUM(N526:N539)</f>
        <v>72</v>
      </c>
      <c r="O540" s="45" t="n">
        <f aca="false">SUM(O526:O539)</f>
        <v>130</v>
      </c>
      <c r="P540" s="52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67"/>
      <c r="B541" s="76"/>
      <c r="C541" s="76"/>
      <c r="D541" s="2"/>
      <c r="E541" s="2"/>
      <c r="F541" s="2"/>
      <c r="G541" s="2"/>
      <c r="H541" s="2"/>
      <c r="I541" s="76"/>
      <c r="J541" s="2"/>
      <c r="K541" s="2"/>
      <c r="L541" s="2"/>
      <c r="M541" s="2"/>
      <c r="N541" s="2"/>
      <c r="O541" s="2"/>
      <c r="P541" s="52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67"/>
      <c r="B542" s="76"/>
      <c r="C542" s="76"/>
      <c r="D542" s="2"/>
      <c r="E542" s="2"/>
      <c r="F542" s="2"/>
      <c r="G542" s="2"/>
      <c r="H542" s="2"/>
      <c r="I542" s="76"/>
      <c r="J542" s="2"/>
      <c r="K542" s="2"/>
      <c r="L542" s="2"/>
      <c r="M542" s="2"/>
      <c r="N542" s="2"/>
      <c r="O542" s="2"/>
      <c r="P542" s="52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67"/>
      <c r="B543" s="76"/>
      <c r="C543" s="76"/>
      <c r="D543" s="2"/>
      <c r="E543" s="2"/>
      <c r="F543" s="2"/>
      <c r="G543" s="2"/>
      <c r="H543" s="2"/>
      <c r="I543" s="76"/>
      <c r="J543" s="2"/>
      <c r="K543" s="2"/>
      <c r="L543" s="2"/>
      <c r="M543" s="2"/>
      <c r="N543" s="2"/>
      <c r="O543" s="2"/>
      <c r="P543" s="52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78" t="s">
        <v>72</v>
      </c>
      <c r="B544" s="69"/>
      <c r="C544" s="69"/>
      <c r="D544" s="44" t="s">
        <v>23</v>
      </c>
      <c r="E544" s="44" t="s">
        <v>24</v>
      </c>
      <c r="F544" s="44" t="s">
        <v>25</v>
      </c>
      <c r="G544" s="44" t="s">
        <v>23</v>
      </c>
      <c r="H544" s="44" t="s">
        <v>24</v>
      </c>
      <c r="I544" s="44" t="s">
        <v>25</v>
      </c>
      <c r="J544" s="44" t="s">
        <v>23</v>
      </c>
      <c r="K544" s="44" t="s">
        <v>24</v>
      </c>
      <c r="L544" s="44" t="s">
        <v>25</v>
      </c>
      <c r="M544" s="44" t="s">
        <v>23</v>
      </c>
      <c r="N544" s="44" t="s">
        <v>24</v>
      </c>
      <c r="O544" s="45" t="s">
        <v>25</v>
      </c>
      <c r="P544" s="90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104" t="s">
        <v>173</v>
      </c>
      <c r="B545" s="63" t="s">
        <v>130</v>
      </c>
      <c r="C545" s="50" t="s">
        <v>111</v>
      </c>
      <c r="D545" s="50" t="n">
        <v>0</v>
      </c>
      <c r="E545" s="50" t="n">
        <v>0</v>
      </c>
      <c r="F545" s="50" t="n">
        <v>0</v>
      </c>
      <c r="G545" s="50" t="n">
        <v>0</v>
      </c>
      <c r="H545" s="50" t="n">
        <v>0</v>
      </c>
      <c r="I545" s="50" t="n">
        <v>0</v>
      </c>
      <c r="J545" s="50" t="n">
        <v>17</v>
      </c>
      <c r="K545" s="50" t="n">
        <v>19</v>
      </c>
      <c r="L545" s="50" t="n">
        <v>36</v>
      </c>
      <c r="M545" s="50" t="n">
        <v>17</v>
      </c>
      <c r="N545" s="50" t="n">
        <v>19</v>
      </c>
      <c r="O545" s="51" t="n">
        <v>36</v>
      </c>
      <c r="P545" s="52" t="n">
        <f aca="false">+(N545-M545)/O545</f>
        <v>0.0555555555555556</v>
      </c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104" t="s">
        <v>73</v>
      </c>
      <c r="B546" s="63" t="s">
        <v>122</v>
      </c>
      <c r="C546" s="50" t="s">
        <v>111</v>
      </c>
      <c r="D546" s="50" t="n">
        <v>0</v>
      </c>
      <c r="E546" s="50" t="n">
        <v>0</v>
      </c>
      <c r="F546" s="50" t="n">
        <v>0</v>
      </c>
      <c r="G546" s="50" t="n">
        <v>0</v>
      </c>
      <c r="H546" s="50" t="n">
        <v>0</v>
      </c>
      <c r="I546" s="50" t="n">
        <v>0</v>
      </c>
      <c r="J546" s="50" t="n">
        <v>15</v>
      </c>
      <c r="K546" s="50" t="n">
        <v>17</v>
      </c>
      <c r="L546" s="50" t="n">
        <v>32</v>
      </c>
      <c r="M546" s="50" t="n">
        <v>15</v>
      </c>
      <c r="N546" s="50" t="n">
        <v>17</v>
      </c>
      <c r="O546" s="51" t="n">
        <v>32</v>
      </c>
      <c r="P546" s="52" t="n">
        <f aca="false">+(N546-M546)/O546</f>
        <v>0.0625</v>
      </c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104" t="s">
        <v>74</v>
      </c>
      <c r="B547" s="63" t="s">
        <v>122</v>
      </c>
      <c r="C547" s="50" t="s">
        <v>111</v>
      </c>
      <c r="D547" s="50" t="n">
        <v>0</v>
      </c>
      <c r="E547" s="50" t="n">
        <v>0</v>
      </c>
      <c r="F547" s="50" t="n">
        <v>0</v>
      </c>
      <c r="G547" s="50" t="n">
        <v>0</v>
      </c>
      <c r="H547" s="50" t="n">
        <v>0</v>
      </c>
      <c r="I547" s="50" t="n">
        <v>0</v>
      </c>
      <c r="J547" s="50" t="n">
        <v>23</v>
      </c>
      <c r="K547" s="50" t="n">
        <v>24</v>
      </c>
      <c r="L547" s="50" t="n">
        <v>47</v>
      </c>
      <c r="M547" s="50" t="n">
        <v>23</v>
      </c>
      <c r="N547" s="50" t="n">
        <v>24</v>
      </c>
      <c r="O547" s="51" t="n">
        <v>47</v>
      </c>
      <c r="P547" s="52" t="n">
        <f aca="false">+(N547-M547)/O547</f>
        <v>0.0212765957446809</v>
      </c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104" t="s">
        <v>174</v>
      </c>
      <c r="B548" s="131" t="s">
        <v>121</v>
      </c>
      <c r="C548" s="50" t="s">
        <v>111</v>
      </c>
      <c r="D548" s="50" t="n">
        <v>0</v>
      </c>
      <c r="E548" s="50" t="n">
        <v>0</v>
      </c>
      <c r="F548" s="50" t="n">
        <v>0</v>
      </c>
      <c r="G548" s="50" t="n">
        <v>0</v>
      </c>
      <c r="H548" s="50" t="n">
        <v>0</v>
      </c>
      <c r="I548" s="50" t="n">
        <v>0</v>
      </c>
      <c r="J548" s="50" t="n">
        <v>10</v>
      </c>
      <c r="K548" s="50" t="n">
        <v>13</v>
      </c>
      <c r="L548" s="50" t="n">
        <v>23</v>
      </c>
      <c r="M548" s="50" t="n">
        <v>10</v>
      </c>
      <c r="N548" s="50" t="n">
        <v>13</v>
      </c>
      <c r="O548" s="51" t="n">
        <v>23</v>
      </c>
      <c r="P548" s="52" t="n">
        <f aca="false">+(N548-M548)/O548</f>
        <v>0.130434782608696</v>
      </c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104" t="s">
        <v>175</v>
      </c>
      <c r="B549" s="63" t="s">
        <v>134</v>
      </c>
      <c r="C549" s="50" t="s">
        <v>111</v>
      </c>
      <c r="D549" s="50" t="n">
        <v>0</v>
      </c>
      <c r="E549" s="50" t="n">
        <v>0</v>
      </c>
      <c r="F549" s="50" t="n">
        <v>0</v>
      </c>
      <c r="G549" s="50" t="n">
        <v>0</v>
      </c>
      <c r="H549" s="50" t="n">
        <v>0</v>
      </c>
      <c r="I549" s="50" t="n">
        <v>0</v>
      </c>
      <c r="J549" s="50" t="n">
        <v>1</v>
      </c>
      <c r="K549" s="50" t="n">
        <v>9</v>
      </c>
      <c r="L549" s="50" t="n">
        <v>10</v>
      </c>
      <c r="M549" s="50" t="n">
        <v>1</v>
      </c>
      <c r="N549" s="50" t="n">
        <v>9</v>
      </c>
      <c r="O549" s="51" t="n">
        <v>10</v>
      </c>
      <c r="P549" s="52" t="n">
        <f aca="false">+(N549-M549)/O549</f>
        <v>0.8</v>
      </c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104" t="s">
        <v>176</v>
      </c>
      <c r="B550" s="63" t="s">
        <v>158</v>
      </c>
      <c r="C550" s="50" t="s">
        <v>111</v>
      </c>
      <c r="D550" s="50" t="n">
        <v>0</v>
      </c>
      <c r="E550" s="50" t="n">
        <v>0</v>
      </c>
      <c r="F550" s="50" t="n">
        <v>0</v>
      </c>
      <c r="G550" s="50" t="n">
        <v>0</v>
      </c>
      <c r="H550" s="50" t="n">
        <v>0</v>
      </c>
      <c r="I550" s="50" t="n">
        <v>0</v>
      </c>
      <c r="J550" s="50" t="n">
        <v>7</v>
      </c>
      <c r="K550" s="50" t="n">
        <v>11</v>
      </c>
      <c r="L550" s="50" t="n">
        <v>18</v>
      </c>
      <c r="M550" s="50" t="n">
        <v>7</v>
      </c>
      <c r="N550" s="50" t="n">
        <v>11</v>
      </c>
      <c r="O550" s="51" t="n">
        <v>18</v>
      </c>
      <c r="P550" s="52" t="n">
        <f aca="false">+(N550-M550)/O550</f>
        <v>0.222222222222222</v>
      </c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104" t="s">
        <v>177</v>
      </c>
      <c r="B551" s="63" t="s">
        <v>158</v>
      </c>
      <c r="C551" s="50" t="s">
        <v>111</v>
      </c>
      <c r="D551" s="50" t="n">
        <v>0</v>
      </c>
      <c r="E551" s="50" t="n">
        <v>0</v>
      </c>
      <c r="F551" s="50" t="n">
        <v>0</v>
      </c>
      <c r="G551" s="50" t="n">
        <v>0</v>
      </c>
      <c r="H551" s="50" t="n">
        <v>0</v>
      </c>
      <c r="I551" s="50" t="n">
        <v>0</v>
      </c>
      <c r="J551" s="50" t="n">
        <v>5</v>
      </c>
      <c r="K551" s="50" t="n">
        <v>7</v>
      </c>
      <c r="L551" s="50" t="n">
        <v>12</v>
      </c>
      <c r="M551" s="50" t="n">
        <v>5</v>
      </c>
      <c r="N551" s="50" t="n">
        <v>7</v>
      </c>
      <c r="O551" s="51" t="n">
        <v>12</v>
      </c>
      <c r="P551" s="52" t="n">
        <f aca="false">+(N551-M551)/O551</f>
        <v>0.166666666666667</v>
      </c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104" t="s">
        <v>178</v>
      </c>
      <c r="B552" s="63" t="s">
        <v>143</v>
      </c>
      <c r="C552" s="50" t="s">
        <v>111</v>
      </c>
      <c r="D552" s="50" t="n">
        <v>0</v>
      </c>
      <c r="E552" s="50" t="n">
        <v>0</v>
      </c>
      <c r="F552" s="50" t="n">
        <v>0</v>
      </c>
      <c r="G552" s="50" t="n">
        <v>0</v>
      </c>
      <c r="H552" s="50" t="n">
        <v>0</v>
      </c>
      <c r="I552" s="50" t="n">
        <v>0</v>
      </c>
      <c r="J552" s="50" t="n">
        <v>8</v>
      </c>
      <c r="K552" s="50" t="n">
        <v>16</v>
      </c>
      <c r="L552" s="50" t="n">
        <v>24</v>
      </c>
      <c r="M552" s="50" t="n">
        <v>8</v>
      </c>
      <c r="N552" s="50" t="n">
        <v>16</v>
      </c>
      <c r="O552" s="51" t="n">
        <v>24</v>
      </c>
      <c r="P552" s="52" t="n">
        <f aca="false">+(N552-M552)/O552</f>
        <v>0.333333333333333</v>
      </c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155" t="s">
        <v>179</v>
      </c>
      <c r="B553" s="152" t="s">
        <v>148</v>
      </c>
      <c r="C553" s="58" t="s">
        <v>111</v>
      </c>
      <c r="D553" s="58" t="n">
        <v>0</v>
      </c>
      <c r="E553" s="58" t="n">
        <v>0</v>
      </c>
      <c r="F553" s="58" t="n">
        <v>0</v>
      </c>
      <c r="G553" s="58" t="n">
        <v>0</v>
      </c>
      <c r="H553" s="58" t="n">
        <v>0</v>
      </c>
      <c r="I553" s="58" t="n">
        <v>0</v>
      </c>
      <c r="J553" s="58" t="n">
        <v>11</v>
      </c>
      <c r="K553" s="58" t="n">
        <v>0</v>
      </c>
      <c r="L553" s="58" t="n">
        <v>11</v>
      </c>
      <c r="M553" s="58" t="n">
        <v>11</v>
      </c>
      <c r="N553" s="58" t="n">
        <v>0</v>
      </c>
      <c r="O553" s="59" t="n">
        <v>11</v>
      </c>
      <c r="P553" s="60" t="n">
        <f aca="false">+(N553-M553)/O553</f>
        <v>-1</v>
      </c>
      <c r="Q553" s="61" t="n">
        <v>1</v>
      </c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109" t="s">
        <v>46</v>
      </c>
      <c r="B554" s="109"/>
      <c r="C554" s="109"/>
      <c r="D554" s="44" t="n">
        <f aca="false">SUM(D545:D553)</f>
        <v>0</v>
      </c>
      <c r="E554" s="44" t="n">
        <f aca="false">SUM(E545:E553)</f>
        <v>0</v>
      </c>
      <c r="F554" s="44" t="n">
        <f aca="false">SUM(F545:F553)</f>
        <v>0</v>
      </c>
      <c r="G554" s="44" t="n">
        <f aca="false">SUM(G545:G553)</f>
        <v>0</v>
      </c>
      <c r="H554" s="44" t="n">
        <f aca="false">SUM(H545:H553)</f>
        <v>0</v>
      </c>
      <c r="I554" s="44" t="n">
        <f aca="false">SUM(I545:I553)</f>
        <v>0</v>
      </c>
      <c r="J554" s="44" t="n">
        <f aca="false">SUM(J545:J553)</f>
        <v>97</v>
      </c>
      <c r="K554" s="44" t="n">
        <f aca="false">SUM(K545:K553)</f>
        <v>116</v>
      </c>
      <c r="L554" s="44" t="n">
        <f aca="false">SUM(L545:L553)</f>
        <v>213</v>
      </c>
      <c r="M554" s="44" t="n">
        <f aca="false">SUM(M545:M553)</f>
        <v>97</v>
      </c>
      <c r="N554" s="44" t="n">
        <f aca="false">SUM(N545:N553)</f>
        <v>116</v>
      </c>
      <c r="O554" s="45" t="n">
        <f aca="false">SUM(O545:O553)</f>
        <v>213</v>
      </c>
      <c r="P554" s="52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67"/>
      <c r="B555" s="76"/>
      <c r="C555" s="7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52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78" t="s">
        <v>76</v>
      </c>
      <c r="B556" s="69"/>
      <c r="C556" s="69"/>
      <c r="D556" s="44" t="s">
        <v>23</v>
      </c>
      <c r="E556" s="44" t="s">
        <v>24</v>
      </c>
      <c r="F556" s="44" t="s">
        <v>25</v>
      </c>
      <c r="G556" s="44" t="s">
        <v>23</v>
      </c>
      <c r="H556" s="44" t="s">
        <v>24</v>
      </c>
      <c r="I556" s="44" t="s">
        <v>25</v>
      </c>
      <c r="J556" s="44" t="s">
        <v>23</v>
      </c>
      <c r="K556" s="44" t="s">
        <v>24</v>
      </c>
      <c r="L556" s="44" t="s">
        <v>25</v>
      </c>
      <c r="M556" s="44" t="s">
        <v>23</v>
      </c>
      <c r="N556" s="44" t="s">
        <v>24</v>
      </c>
      <c r="O556" s="45" t="s">
        <v>25</v>
      </c>
      <c r="P556" s="52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104" t="s">
        <v>180</v>
      </c>
      <c r="B557" s="131" t="s">
        <v>121</v>
      </c>
      <c r="C557" s="50" t="s">
        <v>111</v>
      </c>
      <c r="D557" s="50" t="n">
        <v>0</v>
      </c>
      <c r="E557" s="50" t="n">
        <v>0</v>
      </c>
      <c r="F557" s="50" t="n">
        <v>0</v>
      </c>
      <c r="G557" s="105" t="n">
        <v>0</v>
      </c>
      <c r="H557" s="50" t="n">
        <v>0</v>
      </c>
      <c r="I557" s="50" t="n">
        <v>0</v>
      </c>
      <c r="J557" s="50" t="n">
        <v>1</v>
      </c>
      <c r="K557" s="50" t="n">
        <v>4</v>
      </c>
      <c r="L557" s="50" t="n">
        <v>5</v>
      </c>
      <c r="M557" s="50" t="n">
        <v>1</v>
      </c>
      <c r="N557" s="50" t="n">
        <v>4</v>
      </c>
      <c r="O557" s="51" t="n">
        <v>5</v>
      </c>
      <c r="P557" s="52" t="n">
        <f aca="false">+(N557-M557)/O557</f>
        <v>0.6</v>
      </c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104" t="s">
        <v>181</v>
      </c>
      <c r="B558" s="63" t="s">
        <v>158</v>
      </c>
      <c r="C558" s="50" t="s">
        <v>111</v>
      </c>
      <c r="D558" s="50" t="n">
        <v>0</v>
      </c>
      <c r="E558" s="50" t="n">
        <v>0</v>
      </c>
      <c r="F558" s="50" t="n">
        <v>0</v>
      </c>
      <c r="G558" s="105" t="n">
        <v>0</v>
      </c>
      <c r="H558" s="50" t="n">
        <v>0</v>
      </c>
      <c r="I558" s="50" t="n">
        <v>0</v>
      </c>
      <c r="J558" s="50" t="n">
        <v>14</v>
      </c>
      <c r="K558" s="50" t="n">
        <v>16</v>
      </c>
      <c r="L558" s="50" t="n">
        <v>30</v>
      </c>
      <c r="M558" s="50" t="n">
        <v>14</v>
      </c>
      <c r="N558" s="50" t="n">
        <v>16</v>
      </c>
      <c r="O558" s="51" t="n">
        <v>30</v>
      </c>
      <c r="P558" s="52" t="n">
        <f aca="false">+(N558-M558)/O558</f>
        <v>0.0666666666666667</v>
      </c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157" t="s">
        <v>182</v>
      </c>
      <c r="B559" s="63" t="s">
        <v>158</v>
      </c>
      <c r="C559" s="50" t="s">
        <v>111</v>
      </c>
      <c r="D559" s="50" t="n">
        <v>0</v>
      </c>
      <c r="E559" s="50" t="n">
        <v>0</v>
      </c>
      <c r="F559" s="50" t="n">
        <v>0</v>
      </c>
      <c r="G559" s="140" t="n">
        <v>0</v>
      </c>
      <c r="H559" s="73" t="n">
        <v>0</v>
      </c>
      <c r="I559" s="50" t="n">
        <v>0</v>
      </c>
      <c r="J559" s="73" t="n">
        <v>3</v>
      </c>
      <c r="K559" s="73" t="n">
        <v>6</v>
      </c>
      <c r="L559" s="122" t="n">
        <v>9</v>
      </c>
      <c r="M559" s="50" t="n">
        <v>3</v>
      </c>
      <c r="N559" s="50" t="n">
        <v>6</v>
      </c>
      <c r="O559" s="51" t="n">
        <v>9</v>
      </c>
      <c r="P559" s="52" t="n">
        <f aca="false">+(N559-M559)/O559</f>
        <v>0.333333333333333</v>
      </c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157" t="s">
        <v>183</v>
      </c>
      <c r="B560" s="63" t="s">
        <v>143</v>
      </c>
      <c r="C560" s="73" t="s">
        <v>111</v>
      </c>
      <c r="D560" s="50" t="n">
        <v>0</v>
      </c>
      <c r="E560" s="50" t="n">
        <v>0</v>
      </c>
      <c r="F560" s="50" t="n">
        <v>0</v>
      </c>
      <c r="G560" s="73" t="n">
        <v>0</v>
      </c>
      <c r="H560" s="73" t="n">
        <v>0</v>
      </c>
      <c r="I560" s="73" t="n">
        <v>0</v>
      </c>
      <c r="J560" s="73" t="n">
        <v>0</v>
      </c>
      <c r="K560" s="73" t="n">
        <v>6</v>
      </c>
      <c r="L560" s="73" t="n">
        <v>6</v>
      </c>
      <c r="M560" s="73" t="n">
        <v>0</v>
      </c>
      <c r="N560" s="73" t="n">
        <v>6</v>
      </c>
      <c r="O560" s="74" t="n">
        <v>6</v>
      </c>
      <c r="P560" s="52" t="n">
        <f aca="false">+(N560-M560)/O560</f>
        <v>1</v>
      </c>
      <c r="Q560" s="7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109" t="s">
        <v>46</v>
      </c>
      <c r="B561" s="109"/>
      <c r="C561" s="109"/>
      <c r="D561" s="44" t="n">
        <f aca="false">SUM(D557:D560)</f>
        <v>0</v>
      </c>
      <c r="E561" s="44" t="n">
        <f aca="false">SUM(E557:E560)</f>
        <v>0</v>
      </c>
      <c r="F561" s="44" t="n">
        <f aca="false">SUM(F557:F560)</f>
        <v>0</v>
      </c>
      <c r="G561" s="44" t="n">
        <f aca="false">SUM(G557:G560)</f>
        <v>0</v>
      </c>
      <c r="H561" s="44" t="n">
        <f aca="false">SUM(H557:H560)</f>
        <v>0</v>
      </c>
      <c r="I561" s="44" t="n">
        <f aca="false">SUM(I557:I560)</f>
        <v>0</v>
      </c>
      <c r="J561" s="44" t="n">
        <f aca="false">SUM(J557:J560)</f>
        <v>18</v>
      </c>
      <c r="K561" s="44" t="n">
        <f aca="false">SUM(K557:K560)</f>
        <v>32</v>
      </c>
      <c r="L561" s="44" t="n">
        <f aca="false">SUM(L557:L560)</f>
        <v>50</v>
      </c>
      <c r="M561" s="44" t="n">
        <f aca="false">SUM(M557:M560)</f>
        <v>18</v>
      </c>
      <c r="N561" s="44" t="n">
        <f aca="false">SUM(N557:N560)</f>
        <v>32</v>
      </c>
      <c r="O561" s="45" t="n">
        <f aca="false">SUM(O557:O560)</f>
        <v>50</v>
      </c>
      <c r="P561" s="52"/>
      <c r="Q561" s="7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111" t="s">
        <v>77</v>
      </c>
      <c r="B562" s="111"/>
      <c r="C562" s="111"/>
      <c r="D562" s="44" t="n">
        <f aca="false">SUM(D487+D523+D540+D554+D561)</f>
        <v>17</v>
      </c>
      <c r="E562" s="44" t="n">
        <f aca="false">SUM(E487+E523+E540+E554+E561)</f>
        <v>34</v>
      </c>
      <c r="F562" s="44" t="n">
        <f aca="false">SUM(F487+F523+F540+F554+F561)</f>
        <v>51</v>
      </c>
      <c r="G562" s="44" t="n">
        <f aca="false">SUM(G487+G523+G540+G554+G561)</f>
        <v>17</v>
      </c>
      <c r="H562" s="44" t="n">
        <f aca="false">SUM(H487+H523+H540+H554+H561)</f>
        <v>34</v>
      </c>
      <c r="I562" s="44" t="n">
        <f aca="false">SUM(I487+I523+I540+I554+I561)</f>
        <v>51</v>
      </c>
      <c r="J562" s="44" t="n">
        <f aca="false">SUM(J487+J523+J540+J554+J561)</f>
        <v>4020</v>
      </c>
      <c r="K562" s="44" t="n">
        <f aca="false">SUM(K487+K523+K540+K554+K561)</f>
        <v>5774</v>
      </c>
      <c r="L562" s="44" t="n">
        <f aca="false">SUM(L487+L523+L540+L554+L561)</f>
        <v>9794</v>
      </c>
      <c r="M562" s="44" t="n">
        <f aca="false">SUM(M487+M523+M540+M554+M561)</f>
        <v>4037</v>
      </c>
      <c r="N562" s="44" t="n">
        <f aca="false">SUM(N487+N523+N540+N554+N561)</f>
        <v>5808</v>
      </c>
      <c r="O562" s="45" t="n">
        <f aca="false">SUM(O487+O523+O540+O554+O561)</f>
        <v>9845</v>
      </c>
      <c r="P562" s="52"/>
      <c r="Q562" s="7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112"/>
      <c r="B563" s="112"/>
      <c r="C563" s="11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2"/>
      <c r="Q563" s="7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34" t="s">
        <v>184</v>
      </c>
      <c r="B564" s="34"/>
      <c r="C564" s="34"/>
      <c r="D564" s="34"/>
      <c r="E564" s="34"/>
      <c r="F564" s="34"/>
      <c r="G564" s="35" t="s">
        <v>13</v>
      </c>
      <c r="H564" s="35"/>
      <c r="I564" s="35"/>
      <c r="J564" s="35"/>
      <c r="K564" s="35"/>
      <c r="L564" s="35"/>
      <c r="M564" s="35"/>
      <c r="N564" s="35"/>
      <c r="O564" s="35"/>
      <c r="P564" s="52"/>
      <c r="Q564" s="7"/>
    </row>
    <row r="565" customFormat="false" ht="24" hidden="false" customHeight="true" outlineLevel="0" collapsed="false">
      <c r="A565" s="35" t="s">
        <v>185</v>
      </c>
      <c r="B565" s="38" t="s">
        <v>16</v>
      </c>
      <c r="C565" s="38" t="s">
        <v>17</v>
      </c>
      <c r="D565" s="38" t="s">
        <v>18</v>
      </c>
      <c r="E565" s="38"/>
      <c r="F565" s="38"/>
      <c r="G565" s="38" t="s">
        <v>19</v>
      </c>
      <c r="H565" s="38"/>
      <c r="I565" s="38"/>
      <c r="J565" s="38" t="s">
        <v>20</v>
      </c>
      <c r="K565" s="38"/>
      <c r="L565" s="38"/>
      <c r="M565" s="38" t="s">
        <v>21</v>
      </c>
      <c r="N565" s="38"/>
      <c r="O565" s="38"/>
      <c r="P565" s="52"/>
      <c r="Q565" s="7"/>
      <c r="R565" s="40"/>
      <c r="S565" s="40"/>
      <c r="T565" s="40"/>
      <c r="U565" s="40"/>
      <c r="V565" s="40"/>
      <c r="W565" s="40"/>
      <c r="X565" s="40"/>
      <c r="Y565" s="40"/>
      <c r="Z565" s="40"/>
    </row>
    <row r="566" customFormat="false" ht="19.5" hidden="false" customHeight="true" outlineLevel="0" collapsed="false">
      <c r="A566" s="35"/>
      <c r="B566" s="35"/>
      <c r="C566" s="35"/>
      <c r="D566" s="43" t="s">
        <v>23</v>
      </c>
      <c r="E566" s="44" t="s">
        <v>24</v>
      </c>
      <c r="F566" s="45" t="s">
        <v>25</v>
      </c>
      <c r="G566" s="43" t="s">
        <v>23</v>
      </c>
      <c r="H566" s="44" t="s">
        <v>24</v>
      </c>
      <c r="I566" s="45" t="s">
        <v>25</v>
      </c>
      <c r="J566" s="43" t="s">
        <v>23</v>
      </c>
      <c r="K566" s="44" t="s">
        <v>24</v>
      </c>
      <c r="L566" s="45" t="s">
        <v>25</v>
      </c>
      <c r="M566" s="114" t="s">
        <v>23</v>
      </c>
      <c r="N566" s="44" t="s">
        <v>24</v>
      </c>
      <c r="O566" s="45" t="s">
        <v>25</v>
      </c>
      <c r="P566" s="52"/>
      <c r="Q566" s="7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158" t="s">
        <v>40</v>
      </c>
      <c r="B567" s="159" t="s">
        <v>186</v>
      </c>
      <c r="C567" s="160" t="s">
        <v>187</v>
      </c>
      <c r="D567" s="50" t="n">
        <v>0</v>
      </c>
      <c r="E567" s="50" t="n">
        <v>0</v>
      </c>
      <c r="F567" s="50" t="n">
        <v>0</v>
      </c>
      <c r="G567" s="161" t="n">
        <v>0</v>
      </c>
      <c r="H567" s="161" t="n">
        <v>0</v>
      </c>
      <c r="I567" s="160" t="n">
        <v>0</v>
      </c>
      <c r="J567" s="160" t="n">
        <v>176</v>
      </c>
      <c r="K567" s="160" t="n">
        <v>219</v>
      </c>
      <c r="L567" s="160" t="n">
        <v>395</v>
      </c>
      <c r="M567" s="160" t="n">
        <v>176</v>
      </c>
      <c r="N567" s="160" t="n">
        <v>219</v>
      </c>
      <c r="O567" s="162" t="n">
        <v>395</v>
      </c>
      <c r="P567" s="52" t="n">
        <f aca="false">+(N567-M567)/O567</f>
        <v>0.108860759493671</v>
      </c>
      <c r="Q567" s="7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9.5" hidden="false" customHeight="true" outlineLevel="0" collapsed="false">
      <c r="A568" s="109" t="s">
        <v>46</v>
      </c>
      <c r="B568" s="109"/>
      <c r="C568" s="109"/>
      <c r="D568" s="44" t="n">
        <f aca="false">D567</f>
        <v>0</v>
      </c>
      <c r="E568" s="44" t="n">
        <f aca="false">E567</f>
        <v>0</v>
      </c>
      <c r="F568" s="44" t="n">
        <f aca="false">F567</f>
        <v>0</v>
      </c>
      <c r="G568" s="44" t="n">
        <f aca="false">G567</f>
        <v>0</v>
      </c>
      <c r="H568" s="44" t="n">
        <f aca="false">H567</f>
        <v>0</v>
      </c>
      <c r="I568" s="44" t="n">
        <f aca="false">I567</f>
        <v>0</v>
      </c>
      <c r="J568" s="44" t="n">
        <f aca="false">J567</f>
        <v>176</v>
      </c>
      <c r="K568" s="44" t="n">
        <f aca="false">K567</f>
        <v>219</v>
      </c>
      <c r="L568" s="44" t="n">
        <f aca="false">L567</f>
        <v>395</v>
      </c>
      <c r="M568" s="44" t="n">
        <f aca="false">M567</f>
        <v>176</v>
      </c>
      <c r="N568" s="44" t="n">
        <f aca="false">N567</f>
        <v>219</v>
      </c>
      <c r="O568" s="45" t="n">
        <f aca="false">O567</f>
        <v>395</v>
      </c>
      <c r="P568" s="52"/>
      <c r="Q568" s="7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75"/>
      <c r="B569" s="76"/>
      <c r="C569" s="46"/>
      <c r="D569" s="2"/>
      <c r="E569" s="76"/>
      <c r="F569" s="76"/>
      <c r="G569" s="76"/>
      <c r="H569" s="76"/>
      <c r="I569" s="2"/>
      <c r="J569" s="2"/>
      <c r="K569" s="2"/>
      <c r="L569" s="2"/>
      <c r="M569" s="2"/>
      <c r="N569" s="2"/>
      <c r="O569" s="2"/>
      <c r="P569" s="52"/>
      <c r="Q569" s="7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68" t="s">
        <v>47</v>
      </c>
      <c r="B570" s="69"/>
      <c r="C570" s="69"/>
      <c r="D570" s="44" t="s">
        <v>23</v>
      </c>
      <c r="E570" s="44" t="s">
        <v>24</v>
      </c>
      <c r="F570" s="44" t="s">
        <v>25</v>
      </c>
      <c r="G570" s="44" t="s">
        <v>23</v>
      </c>
      <c r="H570" s="44" t="s">
        <v>24</v>
      </c>
      <c r="I570" s="44" t="s">
        <v>25</v>
      </c>
      <c r="J570" s="44" t="s">
        <v>23</v>
      </c>
      <c r="K570" s="44" t="s">
        <v>24</v>
      </c>
      <c r="L570" s="44" t="s">
        <v>25</v>
      </c>
      <c r="M570" s="44" t="s">
        <v>23</v>
      </c>
      <c r="N570" s="44" t="s">
        <v>24</v>
      </c>
      <c r="O570" s="45" t="s">
        <v>25</v>
      </c>
      <c r="P570" s="52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92" t="s">
        <v>69</v>
      </c>
      <c r="B571" s="49"/>
      <c r="C571" s="49"/>
      <c r="D571" s="93"/>
      <c r="E571" s="49"/>
      <c r="F571" s="49"/>
      <c r="G571" s="49"/>
      <c r="H571" s="49"/>
      <c r="I571" s="93"/>
      <c r="J571" s="93"/>
      <c r="K571" s="93"/>
      <c r="L571" s="93"/>
      <c r="M571" s="93"/>
      <c r="N571" s="93"/>
      <c r="O571" s="94"/>
      <c r="P571" s="52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95" t="s">
        <v>70</v>
      </c>
      <c r="B572" s="96"/>
      <c r="C572" s="96"/>
      <c r="D572" s="50"/>
      <c r="E572" s="123"/>
      <c r="F572" s="123"/>
      <c r="G572" s="123"/>
      <c r="H572" s="123"/>
      <c r="I572" s="50"/>
      <c r="J572" s="50"/>
      <c r="K572" s="50"/>
      <c r="L572" s="50"/>
      <c r="M572" s="50"/>
      <c r="N572" s="50"/>
      <c r="O572" s="51"/>
      <c r="P572" s="52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97" t="s">
        <v>71</v>
      </c>
      <c r="B573" s="98"/>
      <c r="C573" s="98"/>
      <c r="D573" s="124"/>
      <c r="E573" s="125"/>
      <c r="F573" s="125"/>
      <c r="G573" s="125"/>
      <c r="H573" s="125"/>
      <c r="I573" s="124"/>
      <c r="J573" s="124"/>
      <c r="K573" s="124"/>
      <c r="L573" s="124"/>
      <c r="M573" s="124"/>
      <c r="N573" s="124"/>
      <c r="O573" s="126"/>
      <c r="P573" s="52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109" t="s">
        <v>46</v>
      </c>
      <c r="B574" s="109"/>
      <c r="C574" s="109"/>
      <c r="D574" s="44" t="n">
        <v>0</v>
      </c>
      <c r="E574" s="44" t="n">
        <v>0</v>
      </c>
      <c r="F574" s="44" t="n">
        <v>0</v>
      </c>
      <c r="G574" s="44" t="n">
        <v>0</v>
      </c>
      <c r="H574" s="44" t="n">
        <v>0</v>
      </c>
      <c r="I574" s="44" t="n">
        <v>0</v>
      </c>
      <c r="J574" s="44" t="n">
        <v>0</v>
      </c>
      <c r="K574" s="44" t="n">
        <v>0</v>
      </c>
      <c r="L574" s="44" t="n">
        <v>0</v>
      </c>
      <c r="M574" s="44" t="n">
        <v>0</v>
      </c>
      <c r="N574" s="44" t="n">
        <v>0</v>
      </c>
      <c r="O574" s="45" t="n">
        <v>0</v>
      </c>
      <c r="P574" s="52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75"/>
      <c r="B575" s="76"/>
      <c r="C575" s="76"/>
      <c r="D575" s="2"/>
      <c r="E575" s="77"/>
      <c r="F575" s="77"/>
      <c r="G575" s="77"/>
      <c r="H575" s="77"/>
      <c r="I575" s="2"/>
      <c r="J575" s="2"/>
      <c r="K575" s="2"/>
      <c r="L575" s="2"/>
      <c r="M575" s="2"/>
      <c r="N575" s="2"/>
      <c r="O575" s="2"/>
      <c r="P575" s="52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78" t="s">
        <v>48</v>
      </c>
      <c r="B576" s="69"/>
      <c r="C576" s="69"/>
      <c r="D576" s="44" t="s">
        <v>23</v>
      </c>
      <c r="E576" s="44" t="s">
        <v>24</v>
      </c>
      <c r="F576" s="44" t="s">
        <v>25</v>
      </c>
      <c r="G576" s="44" t="s">
        <v>23</v>
      </c>
      <c r="H576" s="44" t="s">
        <v>24</v>
      </c>
      <c r="I576" s="44" t="s">
        <v>25</v>
      </c>
      <c r="J576" s="44" t="s">
        <v>23</v>
      </c>
      <c r="K576" s="44" t="s">
        <v>24</v>
      </c>
      <c r="L576" s="44" t="s">
        <v>25</v>
      </c>
      <c r="M576" s="44" t="s">
        <v>23</v>
      </c>
      <c r="N576" s="44" t="s">
        <v>24</v>
      </c>
      <c r="O576" s="45" t="s">
        <v>25</v>
      </c>
      <c r="P576" s="52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151" t="s">
        <v>188</v>
      </c>
      <c r="B577" s="163" t="s">
        <v>189</v>
      </c>
      <c r="C577" s="58" t="s">
        <v>187</v>
      </c>
      <c r="D577" s="58" t="n">
        <v>0</v>
      </c>
      <c r="E577" s="58" t="n">
        <v>0</v>
      </c>
      <c r="F577" s="58" t="n">
        <v>0</v>
      </c>
      <c r="G577" s="108" t="n">
        <v>0</v>
      </c>
      <c r="H577" s="108" t="n">
        <v>0</v>
      </c>
      <c r="I577" s="58" t="n">
        <v>0</v>
      </c>
      <c r="J577" s="58" t="n">
        <v>232</v>
      </c>
      <c r="K577" s="58" t="n">
        <v>79</v>
      </c>
      <c r="L577" s="58" t="n">
        <v>311</v>
      </c>
      <c r="M577" s="58" t="n">
        <v>232</v>
      </c>
      <c r="N577" s="58" t="n">
        <v>79</v>
      </c>
      <c r="O577" s="59" t="n">
        <v>311</v>
      </c>
      <c r="P577" s="60" t="n">
        <f aca="false">+(N577-M577)/O577</f>
        <v>-0.491961414790997</v>
      </c>
      <c r="Q577" s="61" t="n">
        <v>1</v>
      </c>
      <c r="R577" s="151" t="s">
        <v>188</v>
      </c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151" t="s">
        <v>190</v>
      </c>
      <c r="B578" s="163" t="s">
        <v>189</v>
      </c>
      <c r="C578" s="58" t="s">
        <v>187</v>
      </c>
      <c r="D578" s="58" t="n">
        <v>0</v>
      </c>
      <c r="E578" s="58" t="n">
        <v>0</v>
      </c>
      <c r="F578" s="58" t="n">
        <v>0</v>
      </c>
      <c r="G578" s="58" t="n">
        <v>0</v>
      </c>
      <c r="H578" s="58" t="n">
        <v>0</v>
      </c>
      <c r="I578" s="58" t="n">
        <v>0</v>
      </c>
      <c r="J578" s="58" t="n">
        <v>87</v>
      </c>
      <c r="K578" s="58" t="n">
        <v>45</v>
      </c>
      <c r="L578" s="58" t="n">
        <v>132</v>
      </c>
      <c r="M578" s="58" t="n">
        <v>87</v>
      </c>
      <c r="N578" s="58" t="n">
        <v>45</v>
      </c>
      <c r="O578" s="59" t="n">
        <v>132</v>
      </c>
      <c r="P578" s="60" t="n">
        <f aca="false">+(N578-M578)/O578</f>
        <v>-0.318181818181818</v>
      </c>
      <c r="Q578" s="61" t="n">
        <v>1</v>
      </c>
      <c r="R578" s="151" t="s">
        <v>190</v>
      </c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149" t="s">
        <v>191</v>
      </c>
      <c r="B579" s="150" t="s">
        <v>192</v>
      </c>
      <c r="C579" s="50" t="s">
        <v>187</v>
      </c>
      <c r="D579" s="50" t="n">
        <v>0</v>
      </c>
      <c r="E579" s="50" t="n">
        <v>0</v>
      </c>
      <c r="F579" s="50" t="n">
        <v>0</v>
      </c>
      <c r="G579" s="50" t="n">
        <v>0</v>
      </c>
      <c r="H579" s="50" t="n">
        <v>0</v>
      </c>
      <c r="I579" s="50" t="n">
        <v>0</v>
      </c>
      <c r="J579" s="50" t="n">
        <v>37</v>
      </c>
      <c r="K579" s="50" t="n">
        <v>45</v>
      </c>
      <c r="L579" s="50" t="n">
        <v>82</v>
      </c>
      <c r="M579" s="50" t="n">
        <v>37</v>
      </c>
      <c r="N579" s="50" t="n">
        <v>45</v>
      </c>
      <c r="O579" s="51" t="n">
        <v>82</v>
      </c>
      <c r="P579" s="52" t="n">
        <f aca="false">+(N579-M579)/O579</f>
        <v>0.0975609756097561</v>
      </c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151" t="s">
        <v>193</v>
      </c>
      <c r="B580" s="152" t="s">
        <v>192</v>
      </c>
      <c r="C580" s="58" t="s">
        <v>187</v>
      </c>
      <c r="D580" s="58" t="n">
        <v>0</v>
      </c>
      <c r="E580" s="58" t="n">
        <v>0</v>
      </c>
      <c r="F580" s="58" t="n">
        <v>0</v>
      </c>
      <c r="G580" s="58" t="n">
        <v>0</v>
      </c>
      <c r="H580" s="58" t="n">
        <v>0</v>
      </c>
      <c r="I580" s="58" t="n">
        <v>0</v>
      </c>
      <c r="J580" s="58" t="n">
        <v>47</v>
      </c>
      <c r="K580" s="58" t="n">
        <v>24</v>
      </c>
      <c r="L580" s="58" t="n">
        <v>71</v>
      </c>
      <c r="M580" s="58" t="n">
        <v>47</v>
      </c>
      <c r="N580" s="58" t="n">
        <v>24</v>
      </c>
      <c r="O580" s="59" t="n">
        <v>71</v>
      </c>
      <c r="P580" s="60" t="n">
        <f aca="false">+(N580-M580)/O580</f>
        <v>-0.323943661971831</v>
      </c>
      <c r="Q580" s="61" t="n">
        <v>1</v>
      </c>
      <c r="R580" s="151" t="s">
        <v>193</v>
      </c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149" t="s">
        <v>194</v>
      </c>
      <c r="B581" s="150" t="s">
        <v>192</v>
      </c>
      <c r="C581" s="50" t="s">
        <v>187</v>
      </c>
      <c r="D581" s="50" t="n">
        <v>0</v>
      </c>
      <c r="E581" s="50" t="n">
        <v>0</v>
      </c>
      <c r="F581" s="50" t="n">
        <v>0</v>
      </c>
      <c r="G581" s="50" t="n">
        <v>0</v>
      </c>
      <c r="H581" s="50" t="n">
        <v>0</v>
      </c>
      <c r="I581" s="50" t="n">
        <v>0</v>
      </c>
      <c r="J581" s="50" t="n">
        <v>104</v>
      </c>
      <c r="K581" s="50" t="n">
        <v>139</v>
      </c>
      <c r="L581" s="50" t="n">
        <v>243</v>
      </c>
      <c r="M581" s="50" t="n">
        <v>104</v>
      </c>
      <c r="N581" s="50" t="n">
        <v>139</v>
      </c>
      <c r="O581" s="51" t="n">
        <v>243</v>
      </c>
      <c r="P581" s="52" t="n">
        <f aca="false">+(N581-M581)/O581</f>
        <v>0.1440329218107</v>
      </c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151" t="s">
        <v>57</v>
      </c>
      <c r="B582" s="152" t="s">
        <v>195</v>
      </c>
      <c r="C582" s="58" t="s">
        <v>187</v>
      </c>
      <c r="D582" s="58" t="n">
        <v>0</v>
      </c>
      <c r="E582" s="58" t="n">
        <v>0</v>
      </c>
      <c r="F582" s="58" t="n">
        <v>0</v>
      </c>
      <c r="G582" s="58" t="n">
        <v>0</v>
      </c>
      <c r="H582" s="58" t="n">
        <v>0</v>
      </c>
      <c r="I582" s="58" t="n">
        <v>0</v>
      </c>
      <c r="J582" s="58" t="n">
        <v>231</v>
      </c>
      <c r="K582" s="58" t="n">
        <v>24</v>
      </c>
      <c r="L582" s="58" t="n">
        <v>255</v>
      </c>
      <c r="M582" s="58" t="n">
        <v>231</v>
      </c>
      <c r="N582" s="58" t="n">
        <v>24</v>
      </c>
      <c r="O582" s="59" t="n">
        <v>255</v>
      </c>
      <c r="P582" s="60" t="n">
        <f aca="false">+(N582-M582)/O582</f>
        <v>-0.811764705882353</v>
      </c>
      <c r="Q582" s="61" t="n">
        <v>1</v>
      </c>
      <c r="R582" s="151" t="s">
        <v>57</v>
      </c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151" t="s">
        <v>60</v>
      </c>
      <c r="B583" s="152" t="s">
        <v>195</v>
      </c>
      <c r="C583" s="58" t="s">
        <v>187</v>
      </c>
      <c r="D583" s="58" t="n">
        <v>0</v>
      </c>
      <c r="E583" s="58" t="n">
        <v>0</v>
      </c>
      <c r="F583" s="58" t="n">
        <v>0</v>
      </c>
      <c r="G583" s="58" t="n">
        <v>0</v>
      </c>
      <c r="H583" s="58" t="n">
        <v>0</v>
      </c>
      <c r="I583" s="58" t="n">
        <v>0</v>
      </c>
      <c r="J583" s="58" t="n">
        <v>126</v>
      </c>
      <c r="K583" s="58" t="n">
        <v>18</v>
      </c>
      <c r="L583" s="58" t="n">
        <v>144</v>
      </c>
      <c r="M583" s="58" t="n">
        <v>126</v>
      </c>
      <c r="N583" s="58" t="n">
        <v>18</v>
      </c>
      <c r="O583" s="59" t="n">
        <v>144</v>
      </c>
      <c r="P583" s="60" t="n">
        <f aca="false">+(N583-M583)/O583</f>
        <v>-0.75</v>
      </c>
      <c r="Q583" s="61" t="n">
        <v>1</v>
      </c>
      <c r="R583" s="151" t="s">
        <v>60</v>
      </c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151" t="s">
        <v>196</v>
      </c>
      <c r="B584" s="152" t="s">
        <v>195</v>
      </c>
      <c r="C584" s="58" t="s">
        <v>187</v>
      </c>
      <c r="D584" s="58" t="n">
        <v>0</v>
      </c>
      <c r="E584" s="58" t="n">
        <v>0</v>
      </c>
      <c r="F584" s="58" t="n">
        <v>0</v>
      </c>
      <c r="G584" s="58" t="n">
        <v>0</v>
      </c>
      <c r="H584" s="58" t="n">
        <v>0</v>
      </c>
      <c r="I584" s="58" t="n">
        <v>0</v>
      </c>
      <c r="J584" s="58" t="n">
        <v>55</v>
      </c>
      <c r="K584" s="58" t="n">
        <v>8</v>
      </c>
      <c r="L584" s="58" t="n">
        <v>63</v>
      </c>
      <c r="M584" s="58" t="n">
        <v>55</v>
      </c>
      <c r="N584" s="58" t="n">
        <v>8</v>
      </c>
      <c r="O584" s="59" t="n">
        <v>63</v>
      </c>
      <c r="P584" s="60" t="n">
        <f aca="false">+(N584-M584)/O584</f>
        <v>-0.746031746031746</v>
      </c>
      <c r="Q584" s="61" t="n">
        <v>1</v>
      </c>
      <c r="R584" s="151" t="s">
        <v>196</v>
      </c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151" t="s">
        <v>197</v>
      </c>
      <c r="B585" s="152" t="s">
        <v>195</v>
      </c>
      <c r="C585" s="58" t="s">
        <v>187</v>
      </c>
      <c r="D585" s="58" t="n">
        <v>0</v>
      </c>
      <c r="E585" s="58" t="n">
        <v>0</v>
      </c>
      <c r="F585" s="58" t="n">
        <v>0</v>
      </c>
      <c r="G585" s="58" t="n">
        <v>0</v>
      </c>
      <c r="H585" s="58" t="n">
        <v>0</v>
      </c>
      <c r="I585" s="58" t="n">
        <v>0</v>
      </c>
      <c r="J585" s="58" t="n">
        <v>163</v>
      </c>
      <c r="K585" s="58" t="n">
        <v>36</v>
      </c>
      <c r="L585" s="58" t="n">
        <v>199</v>
      </c>
      <c r="M585" s="58" t="n">
        <v>163</v>
      </c>
      <c r="N585" s="58" t="n">
        <v>36</v>
      </c>
      <c r="O585" s="59" t="n">
        <v>199</v>
      </c>
      <c r="P585" s="60" t="n">
        <f aca="false">+(N585-M585)/O585</f>
        <v>-0.638190954773869</v>
      </c>
      <c r="Q585" s="61" t="n">
        <v>1</v>
      </c>
      <c r="R585" s="151" t="s">
        <v>197</v>
      </c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151" t="s">
        <v>198</v>
      </c>
      <c r="B586" s="152" t="s">
        <v>199</v>
      </c>
      <c r="C586" s="58" t="s">
        <v>187</v>
      </c>
      <c r="D586" s="58" t="n">
        <v>0</v>
      </c>
      <c r="E586" s="58" t="n">
        <v>0</v>
      </c>
      <c r="F586" s="58" t="n">
        <v>0</v>
      </c>
      <c r="G586" s="58" t="n">
        <v>0</v>
      </c>
      <c r="H586" s="58" t="n">
        <v>0</v>
      </c>
      <c r="I586" s="58" t="n">
        <v>0</v>
      </c>
      <c r="J586" s="58" t="n">
        <v>122</v>
      </c>
      <c r="K586" s="58" t="n">
        <v>108</v>
      </c>
      <c r="L586" s="58" t="n">
        <v>230</v>
      </c>
      <c r="M586" s="58" t="n">
        <v>122</v>
      </c>
      <c r="N586" s="58" t="n">
        <v>108</v>
      </c>
      <c r="O586" s="59" t="n">
        <v>230</v>
      </c>
      <c r="P586" s="52" t="n">
        <f aca="false">+(N586-M586)/O586</f>
        <v>-0.0608695652173913</v>
      </c>
      <c r="Q586" s="2" t="n">
        <v>0</v>
      </c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151" t="s">
        <v>200</v>
      </c>
      <c r="B587" s="152" t="s">
        <v>199</v>
      </c>
      <c r="C587" s="58" t="s">
        <v>187</v>
      </c>
      <c r="D587" s="58" t="n">
        <v>0</v>
      </c>
      <c r="E587" s="58" t="n">
        <v>0</v>
      </c>
      <c r="F587" s="58" t="n">
        <v>0</v>
      </c>
      <c r="G587" s="58" t="n">
        <v>0</v>
      </c>
      <c r="H587" s="58" t="n">
        <v>0</v>
      </c>
      <c r="I587" s="58" t="n">
        <v>0</v>
      </c>
      <c r="J587" s="58" t="n">
        <v>37</v>
      </c>
      <c r="K587" s="58" t="n">
        <v>23</v>
      </c>
      <c r="L587" s="58" t="n">
        <v>60</v>
      </c>
      <c r="M587" s="58" t="n">
        <v>37</v>
      </c>
      <c r="N587" s="58" t="n">
        <v>23</v>
      </c>
      <c r="O587" s="59" t="n">
        <v>60</v>
      </c>
      <c r="P587" s="52" t="n">
        <f aca="false">+(N587-M587)/O587</f>
        <v>-0.233333333333333</v>
      </c>
      <c r="Q587" s="2" t="n">
        <v>0</v>
      </c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149" t="s">
        <v>201</v>
      </c>
      <c r="B588" s="150" t="s">
        <v>199</v>
      </c>
      <c r="C588" s="50" t="s">
        <v>187</v>
      </c>
      <c r="D588" s="50" t="n">
        <v>0</v>
      </c>
      <c r="E588" s="50" t="n">
        <v>0</v>
      </c>
      <c r="F588" s="50" t="n">
        <v>0</v>
      </c>
      <c r="G588" s="50" t="n">
        <v>0</v>
      </c>
      <c r="H588" s="50" t="n">
        <v>0</v>
      </c>
      <c r="I588" s="50" t="n">
        <v>0</v>
      </c>
      <c r="J588" s="50" t="n">
        <v>62</v>
      </c>
      <c r="K588" s="50" t="n">
        <v>174</v>
      </c>
      <c r="L588" s="50" t="n">
        <v>236</v>
      </c>
      <c r="M588" s="50" t="n">
        <v>62</v>
      </c>
      <c r="N588" s="50" t="n">
        <v>174</v>
      </c>
      <c r="O588" s="51" t="n">
        <v>236</v>
      </c>
      <c r="P588" s="52" t="n">
        <f aca="false">+(N588-M588)/O588</f>
        <v>0.474576271186441</v>
      </c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149" t="s">
        <v>202</v>
      </c>
      <c r="B589" s="150" t="s">
        <v>199</v>
      </c>
      <c r="C589" s="50" t="s">
        <v>187</v>
      </c>
      <c r="D589" s="50" t="n">
        <v>0</v>
      </c>
      <c r="E589" s="50" t="n">
        <v>0</v>
      </c>
      <c r="F589" s="50" t="n">
        <v>0</v>
      </c>
      <c r="G589" s="50" t="n">
        <v>0</v>
      </c>
      <c r="H589" s="50" t="n">
        <v>0</v>
      </c>
      <c r="I589" s="50" t="n">
        <v>0</v>
      </c>
      <c r="J589" s="50" t="n">
        <v>37</v>
      </c>
      <c r="K589" s="50" t="n">
        <v>67</v>
      </c>
      <c r="L589" s="50" t="n">
        <v>104</v>
      </c>
      <c r="M589" s="50" t="n">
        <v>37</v>
      </c>
      <c r="N589" s="50" t="n">
        <v>67</v>
      </c>
      <c r="O589" s="51" t="n">
        <v>104</v>
      </c>
      <c r="P589" s="52" t="n">
        <f aca="false">+(N589-M589)/O589</f>
        <v>0.288461538461538</v>
      </c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109" t="s">
        <v>46</v>
      </c>
      <c r="B590" s="109"/>
      <c r="C590" s="109"/>
      <c r="D590" s="44" t="n">
        <f aca="false">SUM(D577:D589)</f>
        <v>0</v>
      </c>
      <c r="E590" s="44" t="n">
        <f aca="false">SUM(E577:E589)</f>
        <v>0</v>
      </c>
      <c r="F590" s="44" t="n">
        <f aca="false">SUM(F577:F589)</f>
        <v>0</v>
      </c>
      <c r="G590" s="44" t="n">
        <f aca="false">SUM(G577:G589)</f>
        <v>0</v>
      </c>
      <c r="H590" s="44" t="n">
        <f aca="false">SUM(H577:H589)</f>
        <v>0</v>
      </c>
      <c r="I590" s="44" t="n">
        <f aca="false">SUM(I577:I589)</f>
        <v>0</v>
      </c>
      <c r="J590" s="44" t="n">
        <f aca="false">SUM(J577:J589)</f>
        <v>1340</v>
      </c>
      <c r="K590" s="44" t="n">
        <f aca="false">SUM(K577:K589)</f>
        <v>790</v>
      </c>
      <c r="L590" s="44" t="n">
        <f aca="false">SUM(L577:L589)</f>
        <v>2130</v>
      </c>
      <c r="M590" s="44" t="n">
        <f aca="false">SUM(M577:M589)</f>
        <v>1340</v>
      </c>
      <c r="N590" s="44" t="n">
        <f aca="false">SUM(N577:N589)</f>
        <v>790</v>
      </c>
      <c r="O590" s="45" t="n">
        <f aca="false">SUM(O577:O589)</f>
        <v>2130</v>
      </c>
      <c r="P590" s="52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75"/>
      <c r="B591" s="76"/>
      <c r="C591" s="4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52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78" t="s">
        <v>68</v>
      </c>
      <c r="B592" s="89"/>
      <c r="C592" s="89"/>
      <c r="D592" s="44" t="s">
        <v>23</v>
      </c>
      <c r="E592" s="44" t="s">
        <v>24</v>
      </c>
      <c r="F592" s="44" t="s">
        <v>25</v>
      </c>
      <c r="G592" s="44" t="s">
        <v>23</v>
      </c>
      <c r="H592" s="44" t="s">
        <v>24</v>
      </c>
      <c r="I592" s="44" t="s">
        <v>25</v>
      </c>
      <c r="J592" s="44" t="s">
        <v>23</v>
      </c>
      <c r="K592" s="44" t="s">
        <v>24</v>
      </c>
      <c r="L592" s="44" t="s">
        <v>25</v>
      </c>
      <c r="M592" s="44" t="s">
        <v>23</v>
      </c>
      <c r="N592" s="44" t="s">
        <v>24</v>
      </c>
      <c r="O592" s="45" t="s">
        <v>25</v>
      </c>
      <c r="P592" s="90"/>
      <c r="R592" s="91"/>
      <c r="S592" s="91"/>
      <c r="T592" s="91"/>
      <c r="U592" s="91"/>
      <c r="V592" s="91"/>
      <c r="W592" s="91"/>
      <c r="X592" s="91"/>
      <c r="Y592" s="91"/>
      <c r="Z592" s="91"/>
    </row>
    <row r="593" customFormat="false" ht="15.75" hidden="false" customHeight="true" outlineLevel="0" collapsed="false">
      <c r="A593" s="95" t="s">
        <v>203</v>
      </c>
      <c r="B593" s="63"/>
      <c r="C593" s="50" t="s">
        <v>111</v>
      </c>
      <c r="D593" s="50" t="n">
        <v>0</v>
      </c>
      <c r="E593" s="50" t="n">
        <v>0</v>
      </c>
      <c r="F593" s="50" t="n">
        <v>0</v>
      </c>
      <c r="G593" s="50" t="n">
        <v>0</v>
      </c>
      <c r="H593" s="50" t="n">
        <v>0</v>
      </c>
      <c r="I593" s="50" t="n">
        <v>0</v>
      </c>
      <c r="J593" s="50" t="n">
        <v>0</v>
      </c>
      <c r="K593" s="50" t="n">
        <v>0</v>
      </c>
      <c r="L593" s="50" t="n">
        <v>0</v>
      </c>
      <c r="M593" s="50" t="n">
        <v>0</v>
      </c>
      <c r="N593" s="50" t="n">
        <v>0</v>
      </c>
      <c r="O593" s="51" t="n">
        <v>0</v>
      </c>
      <c r="P593" s="52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95" t="s">
        <v>70</v>
      </c>
      <c r="B594" s="96"/>
      <c r="C594" s="96"/>
      <c r="D594" s="50"/>
      <c r="E594" s="50"/>
      <c r="F594" s="50"/>
      <c r="G594" s="50"/>
      <c r="H594" s="50"/>
      <c r="I594" s="96"/>
      <c r="J594" s="50"/>
      <c r="K594" s="50"/>
      <c r="L594" s="50"/>
      <c r="M594" s="50"/>
      <c r="N594" s="50"/>
      <c r="O594" s="51"/>
      <c r="P594" s="52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97" t="s">
        <v>71</v>
      </c>
      <c r="B595" s="98"/>
      <c r="C595" s="98"/>
      <c r="D595" s="124"/>
      <c r="E595" s="124"/>
      <c r="F595" s="124"/>
      <c r="G595" s="124"/>
      <c r="H595" s="124"/>
      <c r="I595" s="98"/>
      <c r="J595" s="124"/>
      <c r="K595" s="124"/>
      <c r="L595" s="124"/>
      <c r="M595" s="124"/>
      <c r="N595" s="124"/>
      <c r="O595" s="126"/>
      <c r="P595" s="52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109" t="s">
        <v>46</v>
      </c>
      <c r="B596" s="109"/>
      <c r="C596" s="109"/>
      <c r="D596" s="44" t="n">
        <f aca="false">SUM(D593:D595)</f>
        <v>0</v>
      </c>
      <c r="E596" s="44" t="n">
        <v>0</v>
      </c>
      <c r="F596" s="44" t="n">
        <v>0</v>
      </c>
      <c r="G596" s="44" t="n">
        <v>0</v>
      </c>
      <c r="H596" s="44" t="n">
        <v>0</v>
      </c>
      <c r="I596" s="44" t="n">
        <v>0</v>
      </c>
      <c r="J596" s="44" t="n">
        <v>0</v>
      </c>
      <c r="K596" s="44" t="n">
        <v>0</v>
      </c>
      <c r="L596" s="44" t="n">
        <v>0</v>
      </c>
      <c r="M596" s="44" t="n">
        <v>0</v>
      </c>
      <c r="N596" s="44" t="n">
        <v>0</v>
      </c>
      <c r="O596" s="45" t="n">
        <v>0</v>
      </c>
      <c r="P596" s="52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67"/>
      <c r="B597" s="76"/>
      <c r="C597" s="76"/>
      <c r="D597" s="2"/>
      <c r="E597" s="2"/>
      <c r="F597" s="2"/>
      <c r="G597" s="2"/>
      <c r="H597" s="2"/>
      <c r="I597" s="76"/>
      <c r="J597" s="2"/>
      <c r="K597" s="2"/>
      <c r="L597" s="2"/>
      <c r="M597" s="2"/>
      <c r="N597" s="2"/>
      <c r="O597" s="2"/>
      <c r="P597" s="52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78" t="s">
        <v>72</v>
      </c>
      <c r="B598" s="69"/>
      <c r="C598" s="69"/>
      <c r="D598" s="44" t="s">
        <v>23</v>
      </c>
      <c r="E598" s="44" t="s">
        <v>24</v>
      </c>
      <c r="F598" s="44" t="s">
        <v>25</v>
      </c>
      <c r="G598" s="44" t="s">
        <v>23</v>
      </c>
      <c r="H598" s="44" t="s">
        <v>24</v>
      </c>
      <c r="I598" s="44" t="s">
        <v>25</v>
      </c>
      <c r="J598" s="44" t="s">
        <v>23</v>
      </c>
      <c r="K598" s="44" t="s">
        <v>24</v>
      </c>
      <c r="L598" s="44" t="s">
        <v>25</v>
      </c>
      <c r="M598" s="44" t="s">
        <v>23</v>
      </c>
      <c r="N598" s="44" t="s">
        <v>24</v>
      </c>
      <c r="O598" s="45" t="s">
        <v>25</v>
      </c>
      <c r="P598" s="52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164" t="s">
        <v>204</v>
      </c>
      <c r="B599" s="152" t="s">
        <v>195</v>
      </c>
      <c r="C599" s="165" t="s">
        <v>187</v>
      </c>
      <c r="D599" s="58" t="n">
        <v>0</v>
      </c>
      <c r="E599" s="58" t="n">
        <v>0</v>
      </c>
      <c r="F599" s="58" t="n">
        <v>0</v>
      </c>
      <c r="G599" s="58" t="n">
        <v>0</v>
      </c>
      <c r="H599" s="58" t="n">
        <v>0</v>
      </c>
      <c r="I599" s="58" t="n">
        <v>0</v>
      </c>
      <c r="J599" s="58" t="n">
        <v>9</v>
      </c>
      <c r="K599" s="58" t="n">
        <v>2</v>
      </c>
      <c r="L599" s="58" t="n">
        <v>11</v>
      </c>
      <c r="M599" s="58" t="n">
        <v>9</v>
      </c>
      <c r="N599" s="58" t="n">
        <v>2</v>
      </c>
      <c r="O599" s="59" t="n">
        <v>11</v>
      </c>
      <c r="P599" s="60" t="n">
        <f aca="false">+(N599-M599)/O599</f>
        <v>-0.636363636363636</v>
      </c>
      <c r="Q599" s="61" t="n">
        <v>1</v>
      </c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166" t="s">
        <v>205</v>
      </c>
      <c r="B600" s="152" t="s">
        <v>195</v>
      </c>
      <c r="C600" s="103" t="s">
        <v>187</v>
      </c>
      <c r="D600" s="58" t="n">
        <v>0</v>
      </c>
      <c r="E600" s="58" t="n">
        <v>0</v>
      </c>
      <c r="F600" s="58" t="n">
        <v>0</v>
      </c>
      <c r="G600" s="58" t="n">
        <v>0</v>
      </c>
      <c r="H600" s="58" t="n">
        <v>0</v>
      </c>
      <c r="I600" s="58" t="n">
        <v>0</v>
      </c>
      <c r="J600" s="58" t="n">
        <v>9</v>
      </c>
      <c r="K600" s="58" t="n">
        <v>1</v>
      </c>
      <c r="L600" s="58" t="n">
        <v>10</v>
      </c>
      <c r="M600" s="58" t="n">
        <v>9</v>
      </c>
      <c r="N600" s="58" t="n">
        <v>1</v>
      </c>
      <c r="O600" s="59" t="n">
        <v>10</v>
      </c>
      <c r="P600" s="60" t="n">
        <f aca="false">+(N600-M600)/O600</f>
        <v>-0.8</v>
      </c>
      <c r="Q600" s="61" t="n">
        <v>1</v>
      </c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167" t="s">
        <v>206</v>
      </c>
      <c r="B601" s="150" t="s">
        <v>199</v>
      </c>
      <c r="C601" s="93" t="s">
        <v>187</v>
      </c>
      <c r="D601" s="50" t="n">
        <v>0</v>
      </c>
      <c r="E601" s="50" t="n">
        <v>0</v>
      </c>
      <c r="F601" s="50" t="n">
        <v>0</v>
      </c>
      <c r="G601" s="50" t="n">
        <v>0</v>
      </c>
      <c r="H601" s="50" t="n">
        <v>0</v>
      </c>
      <c r="I601" s="50" t="n">
        <v>0</v>
      </c>
      <c r="J601" s="50" t="n">
        <v>3</v>
      </c>
      <c r="K601" s="50" t="n">
        <v>5</v>
      </c>
      <c r="L601" s="50" t="n">
        <v>8</v>
      </c>
      <c r="M601" s="50" t="n">
        <v>3</v>
      </c>
      <c r="N601" s="50" t="n">
        <v>5</v>
      </c>
      <c r="O601" s="51" t="n">
        <v>8</v>
      </c>
      <c r="P601" s="52" t="n">
        <f aca="false">+(N601-M601)/O601</f>
        <v>0.25</v>
      </c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149" t="s">
        <v>207</v>
      </c>
      <c r="B602" s="150" t="s">
        <v>192</v>
      </c>
      <c r="C602" s="50" t="s">
        <v>187</v>
      </c>
      <c r="D602" s="50" t="n">
        <v>0</v>
      </c>
      <c r="E602" s="50" t="n">
        <v>0</v>
      </c>
      <c r="F602" s="50" t="n">
        <v>0</v>
      </c>
      <c r="G602" s="50" t="n">
        <v>0</v>
      </c>
      <c r="H602" s="50" t="n">
        <v>0</v>
      </c>
      <c r="I602" s="50" t="n">
        <v>0</v>
      </c>
      <c r="J602" s="50" t="n">
        <v>6</v>
      </c>
      <c r="K602" s="50" t="n">
        <v>6</v>
      </c>
      <c r="L602" s="50" t="n">
        <v>12</v>
      </c>
      <c r="M602" s="50" t="n">
        <v>6</v>
      </c>
      <c r="N602" s="50" t="n">
        <v>6</v>
      </c>
      <c r="O602" s="51" t="n">
        <v>12</v>
      </c>
      <c r="P602" s="52" t="n">
        <f aca="false">+(N602-M602)/O602</f>
        <v>0</v>
      </c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109" t="s">
        <v>46</v>
      </c>
      <c r="B603" s="109"/>
      <c r="C603" s="109"/>
      <c r="D603" s="44" t="n">
        <f aca="false">SUM(D599:D602)</f>
        <v>0</v>
      </c>
      <c r="E603" s="44" t="n">
        <f aca="false">SUM(E599:E602)</f>
        <v>0</v>
      </c>
      <c r="F603" s="44" t="n">
        <f aca="false">SUM(F599:F602)</f>
        <v>0</v>
      </c>
      <c r="G603" s="44" t="n">
        <f aca="false">SUM(G599:G602)</f>
        <v>0</v>
      </c>
      <c r="H603" s="44" t="n">
        <f aca="false">SUM(H599:H602)</f>
        <v>0</v>
      </c>
      <c r="I603" s="44" t="n">
        <f aca="false">SUM(I599:I602)</f>
        <v>0</v>
      </c>
      <c r="J603" s="44" t="n">
        <f aca="false">SUM(J599:J602)</f>
        <v>27</v>
      </c>
      <c r="K603" s="44" t="n">
        <f aca="false">SUM(K599:K602)</f>
        <v>14</v>
      </c>
      <c r="L603" s="44" t="n">
        <f aca="false">SUM(L599:L602)</f>
        <v>41</v>
      </c>
      <c r="M603" s="44" t="n">
        <f aca="false">SUM(M599:M602)</f>
        <v>27</v>
      </c>
      <c r="N603" s="44" t="n">
        <f aca="false">SUM(N599:N602)</f>
        <v>14</v>
      </c>
      <c r="O603" s="45" t="n">
        <f aca="false">SUM(O599:O602)</f>
        <v>41</v>
      </c>
      <c r="P603" s="52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67"/>
      <c r="B604" s="76"/>
      <c r="C604" s="7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52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78" t="s">
        <v>76</v>
      </c>
      <c r="B605" s="69"/>
      <c r="C605" s="69"/>
      <c r="D605" s="44" t="s">
        <v>23</v>
      </c>
      <c r="E605" s="44" t="s">
        <v>24</v>
      </c>
      <c r="F605" s="44" t="s">
        <v>25</v>
      </c>
      <c r="G605" s="44" t="s">
        <v>23</v>
      </c>
      <c r="H605" s="44" t="s">
        <v>24</v>
      </c>
      <c r="I605" s="44" t="s">
        <v>25</v>
      </c>
      <c r="J605" s="44" t="s">
        <v>23</v>
      </c>
      <c r="K605" s="44" t="s">
        <v>24</v>
      </c>
      <c r="L605" s="44" t="s">
        <v>25</v>
      </c>
      <c r="M605" s="44" t="s">
        <v>23</v>
      </c>
      <c r="N605" s="44" t="s">
        <v>24</v>
      </c>
      <c r="O605" s="45" t="s">
        <v>25</v>
      </c>
      <c r="P605" s="52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102" t="s">
        <v>208</v>
      </c>
      <c r="B606" s="152" t="s">
        <v>199</v>
      </c>
      <c r="C606" s="58" t="s">
        <v>187</v>
      </c>
      <c r="D606" s="103" t="n">
        <v>4</v>
      </c>
      <c r="E606" s="103" t="n">
        <v>1</v>
      </c>
      <c r="F606" s="103" t="n">
        <v>5</v>
      </c>
      <c r="G606" s="103" t="n">
        <v>4</v>
      </c>
      <c r="H606" s="103" t="n">
        <v>1</v>
      </c>
      <c r="I606" s="103" t="n">
        <v>5</v>
      </c>
      <c r="J606" s="103" t="n">
        <v>3</v>
      </c>
      <c r="K606" s="103" t="n">
        <v>2</v>
      </c>
      <c r="L606" s="103" t="n">
        <v>5</v>
      </c>
      <c r="M606" s="58" t="n">
        <f aca="false">SUM(G606+J606)</f>
        <v>7</v>
      </c>
      <c r="N606" s="58" t="n">
        <f aca="false">SUM(H606+K606)</f>
        <v>3</v>
      </c>
      <c r="O606" s="59" t="n">
        <v>10</v>
      </c>
      <c r="P606" s="52" t="n">
        <f aca="false">+(N606-M606)/O606</f>
        <v>-0.4</v>
      </c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106" t="s">
        <v>209</v>
      </c>
      <c r="B607" s="152" t="s">
        <v>192</v>
      </c>
      <c r="C607" s="168" t="s">
        <v>187</v>
      </c>
      <c r="D607" s="58" t="n">
        <v>0</v>
      </c>
      <c r="E607" s="58" t="n">
        <v>0</v>
      </c>
      <c r="F607" s="58" t="n">
        <v>0</v>
      </c>
      <c r="G607" s="169" t="n">
        <v>0</v>
      </c>
      <c r="H607" s="108" t="n">
        <v>0</v>
      </c>
      <c r="I607" s="103" t="n">
        <v>0</v>
      </c>
      <c r="J607" s="108" t="n">
        <v>14</v>
      </c>
      <c r="K607" s="108" t="n">
        <v>9</v>
      </c>
      <c r="L607" s="103" t="n">
        <v>23</v>
      </c>
      <c r="M607" s="58" t="n">
        <f aca="false">SUM(G607+J607)</f>
        <v>14</v>
      </c>
      <c r="N607" s="58" t="n">
        <f aca="false">SUM(H607+K607)</f>
        <v>9</v>
      </c>
      <c r="O607" s="59" t="n">
        <v>23</v>
      </c>
      <c r="P607" s="52" t="n">
        <f aca="false">+(N607-M607)/O607</f>
        <v>-0.217391304347826</v>
      </c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109" t="s">
        <v>46</v>
      </c>
      <c r="B608" s="109"/>
      <c r="C608" s="109"/>
      <c r="D608" s="44" t="n">
        <f aca="false">SUM(D606:D607)</f>
        <v>4</v>
      </c>
      <c r="E608" s="44" t="n">
        <f aca="false">SUM(E606:E607)</f>
        <v>1</v>
      </c>
      <c r="F608" s="44" t="n">
        <f aca="false">SUM(F606:F607)</f>
        <v>5</v>
      </c>
      <c r="G608" s="44" t="n">
        <f aca="false">SUM(G606:G607)</f>
        <v>4</v>
      </c>
      <c r="H608" s="44" t="n">
        <f aca="false">SUM(H606:H607)</f>
        <v>1</v>
      </c>
      <c r="I608" s="44" t="n">
        <f aca="false">SUM(I606:I607)</f>
        <v>5</v>
      </c>
      <c r="J608" s="44" t="n">
        <f aca="false">SUM(J606:J607)</f>
        <v>17</v>
      </c>
      <c r="K608" s="44" t="n">
        <f aca="false">SUM(K606:K607)</f>
        <v>11</v>
      </c>
      <c r="L608" s="44" t="n">
        <f aca="false">SUM(L606:L607)</f>
        <v>28</v>
      </c>
      <c r="M608" s="44" t="n">
        <f aca="false">SUM(M606:M607)</f>
        <v>21</v>
      </c>
      <c r="N608" s="44" t="n">
        <f aca="false">SUM(N606:N607)</f>
        <v>12</v>
      </c>
      <c r="O608" s="45" t="n">
        <f aca="false">SUM(O606:O607)</f>
        <v>33</v>
      </c>
      <c r="P608" s="52"/>
      <c r="R608" s="75"/>
      <c r="S608" s="75"/>
      <c r="T608" s="75"/>
      <c r="U608" s="75"/>
      <c r="V608" s="75"/>
      <c r="W608" s="75"/>
      <c r="X608" s="75"/>
      <c r="Y608" s="75"/>
      <c r="Z608" s="75"/>
    </row>
    <row r="609" customFormat="false" ht="15.75" hidden="false" customHeight="true" outlineLevel="0" collapsed="false">
      <c r="A609" s="111" t="s">
        <v>77</v>
      </c>
      <c r="B609" s="111"/>
      <c r="C609" s="111"/>
      <c r="D609" s="44" t="n">
        <f aca="false">SUM(D568+D590+D603+D608)</f>
        <v>4</v>
      </c>
      <c r="E609" s="44" t="n">
        <f aca="false">SUM(E568+E590+E603+E608)</f>
        <v>1</v>
      </c>
      <c r="F609" s="44" t="n">
        <f aca="false">SUM(F568+F590+F603+F608)</f>
        <v>5</v>
      </c>
      <c r="G609" s="44" t="n">
        <f aca="false">SUM(G568+G590+G603+G608)</f>
        <v>4</v>
      </c>
      <c r="H609" s="44" t="n">
        <f aca="false">SUM(H568+H590+H603+H608)</f>
        <v>1</v>
      </c>
      <c r="I609" s="44" t="n">
        <f aca="false">SUM(I568+I590+I603+I608)</f>
        <v>5</v>
      </c>
      <c r="J609" s="44" t="n">
        <f aca="false">SUM(J568+J590+J603+J608)</f>
        <v>1560</v>
      </c>
      <c r="K609" s="44" t="n">
        <f aca="false">SUM(K568+K590+K603+K608)</f>
        <v>1034</v>
      </c>
      <c r="L609" s="44" t="n">
        <f aca="false">SUM(L568+L590+L603+L608)</f>
        <v>2594</v>
      </c>
      <c r="M609" s="44" t="n">
        <f aca="false">SUM(M568+M590+M603+M608)</f>
        <v>1564</v>
      </c>
      <c r="N609" s="44" t="n">
        <f aca="false">SUM(N568+N590+N603+N608)</f>
        <v>1035</v>
      </c>
      <c r="O609" s="45" t="n">
        <f aca="false">SUM(O568+O590+O603+O608)</f>
        <v>2599</v>
      </c>
      <c r="P609" s="52"/>
    </row>
    <row r="610" customFormat="false" ht="15.75" hidden="false" customHeight="true" outlineLevel="0" collapsed="false"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2"/>
    </row>
    <row r="611" customFormat="false" ht="22.5" hidden="false" customHeight="true" outlineLevel="0" collapsed="false"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2"/>
    </row>
    <row r="612" customFormat="false" ht="27.75" hidden="false" customHeight="true" outlineLevel="0" collapsed="false"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2"/>
      <c r="Q612" s="7"/>
    </row>
    <row r="613" customFormat="false" ht="27.75" hidden="false" customHeight="true" outlineLevel="0" collapsed="false"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2"/>
    </row>
    <row r="614" customFormat="false" ht="15.75" hidden="false" customHeight="true" outlineLevel="0" collapsed="false">
      <c r="A614" s="34" t="s">
        <v>210</v>
      </c>
      <c r="B614" s="34"/>
      <c r="C614" s="34"/>
      <c r="D614" s="34"/>
      <c r="E614" s="34"/>
      <c r="F614" s="34"/>
      <c r="G614" s="35" t="s">
        <v>13</v>
      </c>
      <c r="H614" s="35"/>
      <c r="I614" s="35"/>
      <c r="J614" s="35"/>
      <c r="K614" s="35"/>
      <c r="L614" s="35"/>
      <c r="M614" s="35"/>
      <c r="N614" s="35"/>
      <c r="O614" s="35"/>
      <c r="P614" s="52"/>
    </row>
    <row r="615" customFormat="false" ht="24" hidden="false" customHeight="true" outlineLevel="0" collapsed="false">
      <c r="A615" s="68" t="s">
        <v>108</v>
      </c>
      <c r="B615" s="38" t="s">
        <v>16</v>
      </c>
      <c r="C615" s="170" t="s">
        <v>17</v>
      </c>
      <c r="D615" s="38" t="s">
        <v>18</v>
      </c>
      <c r="E615" s="38"/>
      <c r="F615" s="38"/>
      <c r="G615" s="38" t="s">
        <v>19</v>
      </c>
      <c r="H615" s="38"/>
      <c r="I615" s="38"/>
      <c r="J615" s="38" t="s">
        <v>20</v>
      </c>
      <c r="K615" s="38"/>
      <c r="L615" s="38"/>
      <c r="M615" s="38" t="s">
        <v>21</v>
      </c>
      <c r="N615" s="38"/>
      <c r="O615" s="38"/>
      <c r="P615" s="52"/>
    </row>
    <row r="616" customFormat="false" ht="15.75" hidden="false" customHeight="true" outlineLevel="0" collapsed="false">
      <c r="A616" s="171" t="s">
        <v>22</v>
      </c>
      <c r="B616" s="172"/>
      <c r="C616" s="38"/>
      <c r="D616" s="43" t="s">
        <v>23</v>
      </c>
      <c r="E616" s="44" t="s">
        <v>24</v>
      </c>
      <c r="F616" s="45" t="s">
        <v>25</v>
      </c>
      <c r="G616" s="43" t="s">
        <v>23</v>
      </c>
      <c r="H616" s="44" t="s">
        <v>24</v>
      </c>
      <c r="I616" s="45" t="s">
        <v>25</v>
      </c>
      <c r="J616" s="43" t="s">
        <v>23</v>
      </c>
      <c r="K616" s="44" t="s">
        <v>24</v>
      </c>
      <c r="L616" s="45" t="s">
        <v>25</v>
      </c>
      <c r="M616" s="114" t="s">
        <v>23</v>
      </c>
      <c r="N616" s="44" t="s">
        <v>24</v>
      </c>
      <c r="O616" s="45" t="s">
        <v>25</v>
      </c>
      <c r="P616" s="52"/>
    </row>
    <row r="617" customFormat="false" ht="15.75" hidden="false" customHeight="true" outlineLevel="0" collapsed="false">
      <c r="A617" s="149" t="s">
        <v>40</v>
      </c>
      <c r="B617" s="173" t="s">
        <v>211</v>
      </c>
      <c r="C617" s="50" t="s">
        <v>212</v>
      </c>
      <c r="D617" s="50" t="n">
        <v>0</v>
      </c>
      <c r="E617" s="50" t="n">
        <v>0</v>
      </c>
      <c r="F617" s="50" t="n">
        <v>0</v>
      </c>
      <c r="G617" s="50" t="n">
        <v>0</v>
      </c>
      <c r="H617" s="50" t="n">
        <v>0</v>
      </c>
      <c r="I617" s="50" t="n">
        <v>0</v>
      </c>
      <c r="J617" s="50" t="n">
        <v>228</v>
      </c>
      <c r="K617" s="50" t="n">
        <v>247</v>
      </c>
      <c r="L617" s="50" t="n">
        <v>475</v>
      </c>
      <c r="M617" s="50" t="n">
        <v>228</v>
      </c>
      <c r="N617" s="50" t="n">
        <v>247</v>
      </c>
      <c r="O617" s="51" t="n">
        <v>475</v>
      </c>
      <c r="P617" s="52" t="n">
        <f aca="false">+(N617-M617)/O617</f>
        <v>0.04</v>
      </c>
    </row>
    <row r="618" customFormat="false" ht="15.75" hidden="false" customHeight="true" outlineLevel="0" collapsed="false">
      <c r="A618" s="151" t="s">
        <v>213</v>
      </c>
      <c r="B618" s="152" t="s">
        <v>211</v>
      </c>
      <c r="C618" s="58" t="s">
        <v>212</v>
      </c>
      <c r="D618" s="58" t="n">
        <v>0</v>
      </c>
      <c r="E618" s="58" t="n">
        <v>0</v>
      </c>
      <c r="F618" s="58" t="n">
        <v>0</v>
      </c>
      <c r="G618" s="58" t="n">
        <v>0</v>
      </c>
      <c r="H618" s="58" t="n">
        <v>0</v>
      </c>
      <c r="I618" s="58" t="n">
        <v>0</v>
      </c>
      <c r="J618" s="58" t="n">
        <v>161</v>
      </c>
      <c r="K618" s="58" t="n">
        <v>135</v>
      </c>
      <c r="L618" s="58" t="n">
        <v>296</v>
      </c>
      <c r="M618" s="58" t="n">
        <v>161</v>
      </c>
      <c r="N618" s="58" t="n">
        <v>135</v>
      </c>
      <c r="O618" s="59" t="n">
        <v>296</v>
      </c>
      <c r="P618" s="60" t="n">
        <f aca="false">+(N618-M618)/O618</f>
        <v>-0.0878378378378378</v>
      </c>
      <c r="Q618" s="61" t="n">
        <v>1</v>
      </c>
    </row>
    <row r="619" customFormat="false" ht="15.75" hidden="false" customHeight="true" outlineLevel="0" collapsed="false">
      <c r="A619" s="149" t="s">
        <v>214</v>
      </c>
      <c r="B619" s="150" t="s">
        <v>211</v>
      </c>
      <c r="C619" s="50" t="s">
        <v>212</v>
      </c>
      <c r="D619" s="50" t="n">
        <v>0</v>
      </c>
      <c r="E619" s="50" t="n">
        <v>0</v>
      </c>
      <c r="F619" s="50" t="n">
        <v>0</v>
      </c>
      <c r="G619" s="50" t="n">
        <v>0</v>
      </c>
      <c r="H619" s="50" t="n">
        <v>0</v>
      </c>
      <c r="I619" s="50" t="n">
        <v>0</v>
      </c>
      <c r="J619" s="50" t="n">
        <v>145</v>
      </c>
      <c r="K619" s="50" t="n">
        <v>158</v>
      </c>
      <c r="L619" s="50" t="n">
        <v>303</v>
      </c>
      <c r="M619" s="50" t="n">
        <v>145</v>
      </c>
      <c r="N619" s="50" t="n">
        <v>158</v>
      </c>
      <c r="O619" s="51" t="n">
        <v>303</v>
      </c>
      <c r="P619" s="52" t="n">
        <f aca="false">+(N619-M619)/O619</f>
        <v>0.0429042904290429</v>
      </c>
    </row>
    <row r="620" customFormat="false" ht="15.75" hidden="false" customHeight="true" outlineLevel="0" collapsed="false">
      <c r="A620" s="53" t="s">
        <v>40</v>
      </c>
      <c r="B620" s="150" t="s">
        <v>215</v>
      </c>
      <c r="C620" s="50" t="s">
        <v>216</v>
      </c>
      <c r="D620" s="50" t="n">
        <v>0</v>
      </c>
      <c r="E620" s="50" t="n">
        <v>0</v>
      </c>
      <c r="F620" s="50" t="n">
        <v>0</v>
      </c>
      <c r="G620" s="50" t="n">
        <v>0</v>
      </c>
      <c r="H620" s="50" t="n">
        <v>0</v>
      </c>
      <c r="I620" s="50" t="n">
        <v>0</v>
      </c>
      <c r="J620" s="50" t="n">
        <v>44</v>
      </c>
      <c r="K620" s="50" t="n">
        <v>84</v>
      </c>
      <c r="L620" s="50" t="n">
        <v>128</v>
      </c>
      <c r="M620" s="50" t="n">
        <v>44</v>
      </c>
      <c r="N620" s="50" t="n">
        <v>84</v>
      </c>
      <c r="O620" s="51" t="n">
        <v>128</v>
      </c>
      <c r="P620" s="52" t="n">
        <f aca="false">+(N620-M620)/O620</f>
        <v>0.3125</v>
      </c>
    </row>
    <row r="621" customFormat="false" ht="15.75" hidden="false" customHeight="true" outlineLevel="0" collapsed="false">
      <c r="A621" s="149" t="s">
        <v>217</v>
      </c>
      <c r="B621" s="150" t="s">
        <v>215</v>
      </c>
      <c r="C621" s="50" t="s">
        <v>216</v>
      </c>
      <c r="D621" s="50" t="n">
        <v>0</v>
      </c>
      <c r="E621" s="50" t="n">
        <v>0</v>
      </c>
      <c r="F621" s="50" t="n">
        <v>0</v>
      </c>
      <c r="G621" s="50" t="n">
        <v>0</v>
      </c>
      <c r="H621" s="50" t="n">
        <v>0</v>
      </c>
      <c r="I621" s="50" t="n">
        <v>0</v>
      </c>
      <c r="J621" s="50" t="n">
        <v>16</v>
      </c>
      <c r="K621" s="50" t="n">
        <v>28</v>
      </c>
      <c r="L621" s="50" t="n">
        <v>44</v>
      </c>
      <c r="M621" s="50" t="n">
        <v>16</v>
      </c>
      <c r="N621" s="50" t="n">
        <v>28</v>
      </c>
      <c r="O621" s="51" t="n">
        <v>44</v>
      </c>
      <c r="P621" s="52" t="n">
        <f aca="false">+(N621-M621)/O621</f>
        <v>0.272727272727273</v>
      </c>
    </row>
    <row r="622" customFormat="false" ht="19.5" hidden="false" customHeight="true" outlineLevel="0" collapsed="false">
      <c r="A622" s="151" t="s">
        <v>218</v>
      </c>
      <c r="B622" s="152" t="s">
        <v>215</v>
      </c>
      <c r="C622" s="58" t="s">
        <v>216</v>
      </c>
      <c r="D622" s="58" t="n">
        <v>0</v>
      </c>
      <c r="E622" s="58" t="n">
        <v>0</v>
      </c>
      <c r="F622" s="58" t="n">
        <v>0</v>
      </c>
      <c r="G622" s="58" t="n">
        <v>0</v>
      </c>
      <c r="H622" s="58" t="n">
        <v>0</v>
      </c>
      <c r="I622" s="58" t="n">
        <v>0</v>
      </c>
      <c r="J622" s="58" t="n">
        <v>49</v>
      </c>
      <c r="K622" s="58" t="n">
        <v>37</v>
      </c>
      <c r="L622" s="58" t="n">
        <v>86</v>
      </c>
      <c r="M622" s="58" t="n">
        <v>49</v>
      </c>
      <c r="N622" s="58" t="n">
        <v>37</v>
      </c>
      <c r="O622" s="59" t="n">
        <v>86</v>
      </c>
      <c r="P622" s="60" t="n">
        <f aca="false">+(N622-M622)/O622</f>
        <v>-0.13953488372093</v>
      </c>
      <c r="Q622" s="61" t="n">
        <v>1</v>
      </c>
    </row>
    <row r="623" customFormat="false" ht="19.5" hidden="false" customHeight="true" outlineLevel="0" collapsed="false">
      <c r="A623" s="149" t="s">
        <v>40</v>
      </c>
      <c r="B623" s="150" t="s">
        <v>219</v>
      </c>
      <c r="C623" s="50" t="s">
        <v>220</v>
      </c>
      <c r="D623" s="50" t="n">
        <v>0</v>
      </c>
      <c r="E623" s="50" t="n">
        <v>0</v>
      </c>
      <c r="F623" s="50" t="n">
        <v>0</v>
      </c>
      <c r="G623" s="50" t="n">
        <v>0</v>
      </c>
      <c r="H623" s="50" t="n">
        <v>0</v>
      </c>
      <c r="I623" s="50" t="n">
        <v>0</v>
      </c>
      <c r="J623" s="50" t="n">
        <v>61</v>
      </c>
      <c r="K623" s="50" t="n">
        <v>108</v>
      </c>
      <c r="L623" s="50" t="n">
        <v>169</v>
      </c>
      <c r="M623" s="50" t="n">
        <v>61</v>
      </c>
      <c r="N623" s="50" t="n">
        <v>108</v>
      </c>
      <c r="O623" s="51" t="n">
        <v>169</v>
      </c>
      <c r="P623" s="52" t="n">
        <f aca="false">+(N623-M623)/O623</f>
        <v>0.27810650887574</v>
      </c>
    </row>
    <row r="624" customFormat="false" ht="18" hidden="false" customHeight="true" outlineLevel="0" collapsed="false">
      <c r="A624" s="149" t="s">
        <v>40</v>
      </c>
      <c r="B624" s="150" t="s">
        <v>221</v>
      </c>
      <c r="C624" s="50" t="s">
        <v>220</v>
      </c>
      <c r="D624" s="50" t="n">
        <v>0</v>
      </c>
      <c r="E624" s="50" t="n">
        <v>0</v>
      </c>
      <c r="F624" s="50" t="n">
        <v>0</v>
      </c>
      <c r="G624" s="50" t="n">
        <v>0</v>
      </c>
      <c r="H624" s="50" t="n">
        <v>0</v>
      </c>
      <c r="I624" s="50" t="n">
        <v>0</v>
      </c>
      <c r="J624" s="50" t="n">
        <v>66</v>
      </c>
      <c r="K624" s="50" t="n">
        <v>85</v>
      </c>
      <c r="L624" s="50" t="n">
        <v>151</v>
      </c>
      <c r="M624" s="50" t="n">
        <v>66</v>
      </c>
      <c r="N624" s="50" t="n">
        <v>85</v>
      </c>
      <c r="O624" s="51" t="n">
        <v>151</v>
      </c>
      <c r="P624" s="52" t="n">
        <f aca="false">+(N624-M624)/O624</f>
        <v>0.125827814569536</v>
      </c>
      <c r="Q624" s="5"/>
    </row>
    <row r="625" customFormat="false" ht="17.25" hidden="false" customHeight="true" outlineLevel="0" collapsed="false">
      <c r="A625" s="149" t="s">
        <v>40</v>
      </c>
      <c r="B625" s="150" t="s">
        <v>222</v>
      </c>
      <c r="C625" s="50" t="s">
        <v>212</v>
      </c>
      <c r="D625" s="50" t="n">
        <v>0</v>
      </c>
      <c r="E625" s="50" t="n">
        <v>0</v>
      </c>
      <c r="F625" s="50" t="n">
        <v>0</v>
      </c>
      <c r="G625" s="50" t="n">
        <v>0</v>
      </c>
      <c r="H625" s="50" t="n">
        <v>0</v>
      </c>
      <c r="I625" s="50" t="n">
        <v>0</v>
      </c>
      <c r="J625" s="50" t="n">
        <v>242</v>
      </c>
      <c r="K625" s="50" t="n">
        <v>376</v>
      </c>
      <c r="L625" s="50" t="n">
        <v>618</v>
      </c>
      <c r="M625" s="84" t="n">
        <v>241</v>
      </c>
      <c r="N625" s="84" t="n">
        <v>377</v>
      </c>
      <c r="O625" s="51" t="n">
        <v>618</v>
      </c>
      <c r="P625" s="52" t="n">
        <f aca="false">+(N625-M625)/O625</f>
        <v>0.220064724919094</v>
      </c>
    </row>
    <row r="626" customFormat="false" ht="16.5" hidden="false" customHeight="true" outlineLevel="0" collapsed="false">
      <c r="A626" s="149" t="s">
        <v>223</v>
      </c>
      <c r="B626" s="150" t="s">
        <v>222</v>
      </c>
      <c r="C626" s="50" t="s">
        <v>212</v>
      </c>
      <c r="D626" s="50" t="n">
        <v>0</v>
      </c>
      <c r="E626" s="50" t="n">
        <v>0</v>
      </c>
      <c r="F626" s="50" t="n">
        <v>0</v>
      </c>
      <c r="G626" s="50" t="n">
        <v>0</v>
      </c>
      <c r="H626" s="50" t="n">
        <v>0</v>
      </c>
      <c r="I626" s="50" t="n">
        <v>0</v>
      </c>
      <c r="J626" s="50" t="n">
        <v>97</v>
      </c>
      <c r="K626" s="50" t="n">
        <v>177</v>
      </c>
      <c r="L626" s="50" t="n">
        <v>274</v>
      </c>
      <c r="M626" s="50" t="n">
        <v>97</v>
      </c>
      <c r="N626" s="50" t="n">
        <v>177</v>
      </c>
      <c r="O626" s="51" t="n">
        <v>274</v>
      </c>
      <c r="P626" s="52" t="n">
        <f aca="false">+(N626-M626)/O626</f>
        <v>0.291970802919708</v>
      </c>
    </row>
    <row r="627" customFormat="false" ht="18" hidden="false" customHeight="true" outlineLevel="0" collapsed="false">
      <c r="A627" s="174" t="s">
        <v>224</v>
      </c>
      <c r="B627" s="152" t="s">
        <v>222</v>
      </c>
      <c r="C627" s="58" t="s">
        <v>212</v>
      </c>
      <c r="D627" s="58" t="n">
        <v>0</v>
      </c>
      <c r="E627" s="58" t="n">
        <v>0</v>
      </c>
      <c r="F627" s="58" t="n">
        <v>0</v>
      </c>
      <c r="G627" s="58" t="n">
        <v>0</v>
      </c>
      <c r="H627" s="58" t="n">
        <v>0</v>
      </c>
      <c r="I627" s="58" t="n">
        <v>0</v>
      </c>
      <c r="J627" s="58" t="n">
        <v>103</v>
      </c>
      <c r="K627" s="58" t="n">
        <v>39</v>
      </c>
      <c r="L627" s="58" t="n">
        <v>142</v>
      </c>
      <c r="M627" s="58" t="n">
        <v>103</v>
      </c>
      <c r="N627" s="58" t="n">
        <v>39</v>
      </c>
      <c r="O627" s="59" t="n">
        <v>142</v>
      </c>
      <c r="P627" s="60" t="n">
        <f aca="false">+(N627-M627)/O627</f>
        <v>-0.450704225352113</v>
      </c>
      <c r="Q627" s="61" t="n">
        <v>1</v>
      </c>
    </row>
    <row r="628" customFormat="false" ht="18" hidden="false" customHeight="true" outlineLevel="0" collapsed="false">
      <c r="A628" s="151" t="s">
        <v>40</v>
      </c>
      <c r="B628" s="152" t="s">
        <v>225</v>
      </c>
      <c r="C628" s="58" t="s">
        <v>220</v>
      </c>
      <c r="D628" s="58" t="n">
        <v>0</v>
      </c>
      <c r="E628" s="58" t="n">
        <v>0</v>
      </c>
      <c r="F628" s="58" t="n">
        <v>0</v>
      </c>
      <c r="G628" s="58" t="n">
        <v>0</v>
      </c>
      <c r="H628" s="58" t="n">
        <v>0</v>
      </c>
      <c r="I628" s="58" t="n">
        <v>0</v>
      </c>
      <c r="J628" s="58" t="n">
        <v>116</v>
      </c>
      <c r="K628" s="58" t="n">
        <v>114</v>
      </c>
      <c r="L628" s="58" t="n">
        <v>230</v>
      </c>
      <c r="M628" s="58" t="n">
        <v>116</v>
      </c>
      <c r="N628" s="58" t="n">
        <v>114</v>
      </c>
      <c r="O628" s="59" t="n">
        <v>230</v>
      </c>
      <c r="P628" s="52" t="n">
        <f aca="false">+(N628-M628)/O628</f>
        <v>-0.00869565217391304</v>
      </c>
      <c r="Q628" s="2" t="n">
        <v>0</v>
      </c>
    </row>
    <row r="629" customFormat="false" ht="18" hidden="false" customHeight="true" outlineLevel="0" collapsed="false">
      <c r="A629" s="175" t="s">
        <v>223</v>
      </c>
      <c r="B629" s="173" t="s">
        <v>225</v>
      </c>
      <c r="C629" s="50" t="s">
        <v>220</v>
      </c>
      <c r="D629" s="50" t="n">
        <v>0</v>
      </c>
      <c r="E629" s="50" t="n">
        <v>0</v>
      </c>
      <c r="F629" s="50" t="n">
        <v>0</v>
      </c>
      <c r="G629" s="50" t="n">
        <v>0</v>
      </c>
      <c r="H629" s="50" t="n">
        <v>0</v>
      </c>
      <c r="I629" s="50" t="n">
        <v>0</v>
      </c>
      <c r="J629" s="50" t="n">
        <v>44</v>
      </c>
      <c r="K629" s="50" t="n">
        <v>78</v>
      </c>
      <c r="L629" s="50" t="n">
        <v>122</v>
      </c>
      <c r="M629" s="50" t="n">
        <v>44</v>
      </c>
      <c r="N629" s="50" t="n">
        <v>78</v>
      </c>
      <c r="O629" s="51" t="n">
        <v>122</v>
      </c>
      <c r="P629" s="52" t="n">
        <f aca="false">+(N629-M629)/O629</f>
        <v>0.278688524590164</v>
      </c>
    </row>
    <row r="630" customFormat="false" ht="18" hidden="false" customHeight="true" outlineLevel="0" collapsed="false">
      <c r="A630" s="149" t="s">
        <v>217</v>
      </c>
      <c r="B630" s="150" t="s">
        <v>226</v>
      </c>
      <c r="C630" s="50" t="s">
        <v>227</v>
      </c>
      <c r="D630" s="50" t="n">
        <v>0</v>
      </c>
      <c r="E630" s="50" t="n">
        <v>0</v>
      </c>
      <c r="F630" s="50" t="n">
        <v>0</v>
      </c>
      <c r="G630" s="50" t="n">
        <v>0</v>
      </c>
      <c r="H630" s="50" t="n">
        <v>0</v>
      </c>
      <c r="I630" s="50" t="n">
        <v>0</v>
      </c>
      <c r="J630" s="50" t="n">
        <v>53</v>
      </c>
      <c r="K630" s="50" t="n">
        <v>66</v>
      </c>
      <c r="L630" s="50" t="n">
        <v>119</v>
      </c>
      <c r="M630" s="50" t="n">
        <v>53</v>
      </c>
      <c r="N630" s="50" t="n">
        <v>66</v>
      </c>
      <c r="O630" s="51" t="n">
        <v>119</v>
      </c>
      <c r="P630" s="52" t="n">
        <f aca="false">+(N630-M630)/O630</f>
        <v>0.109243697478992</v>
      </c>
    </row>
    <row r="631" customFormat="false" ht="18" hidden="false" customHeight="true" outlineLevel="0" collapsed="false">
      <c r="A631" s="151" t="s">
        <v>224</v>
      </c>
      <c r="B631" s="152" t="s">
        <v>226</v>
      </c>
      <c r="C631" s="58" t="s">
        <v>227</v>
      </c>
      <c r="D631" s="58" t="n">
        <v>0</v>
      </c>
      <c r="E631" s="58" t="n">
        <v>0</v>
      </c>
      <c r="F631" s="58" t="n">
        <v>0</v>
      </c>
      <c r="G631" s="58" t="n">
        <v>0</v>
      </c>
      <c r="H631" s="58" t="n">
        <v>0</v>
      </c>
      <c r="I631" s="58" t="n">
        <v>0</v>
      </c>
      <c r="J631" s="58" t="n">
        <v>77</v>
      </c>
      <c r="K631" s="58" t="n">
        <v>26</v>
      </c>
      <c r="L631" s="58" t="n">
        <v>103</v>
      </c>
      <c r="M631" s="58" t="n">
        <v>77</v>
      </c>
      <c r="N631" s="58" t="n">
        <v>26</v>
      </c>
      <c r="O631" s="59" t="n">
        <v>103</v>
      </c>
      <c r="P631" s="60" t="n">
        <f aca="false">+(N631-M631)/O631</f>
        <v>-0.495145631067961</v>
      </c>
      <c r="Q631" s="61" t="n">
        <v>1</v>
      </c>
    </row>
    <row r="632" customFormat="false" ht="18" hidden="false" customHeight="true" outlineLevel="0" collapsed="false">
      <c r="A632" s="149" t="s">
        <v>40</v>
      </c>
      <c r="B632" s="150" t="s">
        <v>228</v>
      </c>
      <c r="C632" s="50" t="s">
        <v>227</v>
      </c>
      <c r="D632" s="50" t="n">
        <v>0</v>
      </c>
      <c r="E632" s="50" t="n">
        <v>0</v>
      </c>
      <c r="F632" s="50" t="n">
        <v>0</v>
      </c>
      <c r="G632" s="50" t="n">
        <v>0</v>
      </c>
      <c r="H632" s="50" t="n">
        <v>0</v>
      </c>
      <c r="I632" s="50" t="n">
        <v>0</v>
      </c>
      <c r="J632" s="50" t="n">
        <v>76</v>
      </c>
      <c r="K632" s="50" t="n">
        <v>102</v>
      </c>
      <c r="L632" s="50" t="n">
        <v>178</v>
      </c>
      <c r="M632" s="50" t="n">
        <v>76</v>
      </c>
      <c r="N632" s="50" t="n">
        <v>102</v>
      </c>
      <c r="O632" s="51" t="n">
        <v>178</v>
      </c>
      <c r="P632" s="52" t="n">
        <f aca="false">+(N632-M632)/O632</f>
        <v>0.146067415730337</v>
      </c>
    </row>
    <row r="633" customFormat="false" ht="18" hidden="false" customHeight="true" outlineLevel="0" collapsed="false">
      <c r="A633" s="149" t="s">
        <v>40</v>
      </c>
      <c r="B633" s="150" t="s">
        <v>229</v>
      </c>
      <c r="C633" s="50" t="s">
        <v>227</v>
      </c>
      <c r="D633" s="50" t="n">
        <v>0</v>
      </c>
      <c r="E633" s="50" t="n">
        <v>0</v>
      </c>
      <c r="F633" s="50" t="n">
        <v>0</v>
      </c>
      <c r="G633" s="50" t="n">
        <v>0</v>
      </c>
      <c r="H633" s="50" t="n">
        <v>0</v>
      </c>
      <c r="I633" s="50" t="n">
        <v>0</v>
      </c>
      <c r="J633" s="50" t="n">
        <v>82</v>
      </c>
      <c r="K633" s="50" t="n">
        <v>107</v>
      </c>
      <c r="L633" s="50" t="n">
        <v>189</v>
      </c>
      <c r="M633" s="50" t="n">
        <v>82</v>
      </c>
      <c r="N633" s="50" t="n">
        <v>107</v>
      </c>
      <c r="O633" s="51" t="n">
        <v>189</v>
      </c>
      <c r="P633" s="52" t="n">
        <f aca="false">+(N633-M633)/O633</f>
        <v>0.132275132275132</v>
      </c>
    </row>
    <row r="634" customFormat="false" ht="18" hidden="false" customHeight="true" outlineLevel="0" collapsed="false">
      <c r="A634" s="149" t="s">
        <v>40</v>
      </c>
      <c r="B634" s="150" t="s">
        <v>230</v>
      </c>
      <c r="C634" s="50" t="s">
        <v>220</v>
      </c>
      <c r="D634" s="50" t="n">
        <v>0</v>
      </c>
      <c r="E634" s="50" t="n">
        <v>0</v>
      </c>
      <c r="F634" s="50" t="n">
        <v>0</v>
      </c>
      <c r="G634" s="50" t="n">
        <v>0</v>
      </c>
      <c r="H634" s="50" t="n">
        <v>0</v>
      </c>
      <c r="I634" s="50" t="n">
        <v>0</v>
      </c>
      <c r="J634" s="50" t="n">
        <v>223</v>
      </c>
      <c r="K634" s="50" t="n">
        <v>254</v>
      </c>
      <c r="L634" s="50" t="n">
        <v>477</v>
      </c>
      <c r="M634" s="50" t="n">
        <v>223</v>
      </c>
      <c r="N634" s="50" t="n">
        <v>254</v>
      </c>
      <c r="O634" s="51" t="n">
        <v>477</v>
      </c>
      <c r="P634" s="52" t="n">
        <f aca="false">+(N634-M634)/O634</f>
        <v>0.0649895178197065</v>
      </c>
    </row>
    <row r="635" customFormat="false" ht="18" hidden="false" customHeight="true" outlineLevel="0" collapsed="false">
      <c r="A635" s="53" t="s">
        <v>231</v>
      </c>
      <c r="B635" s="150" t="s">
        <v>230</v>
      </c>
      <c r="C635" s="50" t="s">
        <v>220</v>
      </c>
      <c r="D635" s="50" t="n">
        <v>0</v>
      </c>
      <c r="E635" s="50" t="n">
        <v>0</v>
      </c>
      <c r="F635" s="50" t="n">
        <v>0</v>
      </c>
      <c r="G635" s="50" t="n">
        <v>0</v>
      </c>
      <c r="H635" s="50" t="n">
        <v>0</v>
      </c>
      <c r="I635" s="50" t="n">
        <v>0</v>
      </c>
      <c r="J635" s="50" t="n">
        <v>59</v>
      </c>
      <c r="K635" s="50" t="n">
        <v>77</v>
      </c>
      <c r="L635" s="50" t="n">
        <v>136</v>
      </c>
      <c r="M635" s="50" t="n">
        <v>59</v>
      </c>
      <c r="N635" s="50" t="n">
        <v>77</v>
      </c>
      <c r="O635" s="51" t="n">
        <v>136</v>
      </c>
      <c r="P635" s="52" t="n">
        <f aca="false">+(N635-M635)/O635</f>
        <v>0.132352941176471</v>
      </c>
    </row>
    <row r="636" customFormat="false" ht="18" hidden="false" customHeight="true" outlineLevel="0" collapsed="false">
      <c r="A636" s="153" t="s">
        <v>40</v>
      </c>
      <c r="B636" s="154" t="s">
        <v>232</v>
      </c>
      <c r="C636" s="73" t="s">
        <v>220</v>
      </c>
      <c r="D636" s="50" t="n">
        <v>0</v>
      </c>
      <c r="E636" s="50" t="n">
        <v>0</v>
      </c>
      <c r="F636" s="50" t="n">
        <v>0</v>
      </c>
      <c r="G636" s="73" t="n">
        <v>0</v>
      </c>
      <c r="H636" s="73" t="n">
        <v>0</v>
      </c>
      <c r="I636" s="73" t="n">
        <v>0</v>
      </c>
      <c r="J636" s="73" t="n">
        <v>119</v>
      </c>
      <c r="K636" s="73" t="n">
        <v>152</v>
      </c>
      <c r="L636" s="73" t="n">
        <v>271</v>
      </c>
      <c r="M636" s="73" t="n">
        <v>119</v>
      </c>
      <c r="N636" s="73" t="n">
        <v>152</v>
      </c>
      <c r="O636" s="74" t="n">
        <v>271</v>
      </c>
      <c r="P636" s="52" t="n">
        <f aca="false">+(N636-M636)/O636</f>
        <v>0.121771217712177</v>
      </c>
    </row>
    <row r="637" customFormat="false" ht="15.75" hidden="false" customHeight="true" outlineLevel="0" collapsed="false">
      <c r="A637" s="109" t="s">
        <v>46</v>
      </c>
      <c r="B637" s="109"/>
      <c r="C637" s="109"/>
      <c r="D637" s="44" t="n">
        <f aca="false">SUM(D617:D636)</f>
        <v>0</v>
      </c>
      <c r="E637" s="44" t="n">
        <f aca="false">SUM(E617:E636)</f>
        <v>0</v>
      </c>
      <c r="F637" s="44" t="n">
        <f aca="false">SUM(F617:F636)</f>
        <v>0</v>
      </c>
      <c r="G637" s="44" t="n">
        <f aca="false">SUM(G617:G636)</f>
        <v>0</v>
      </c>
      <c r="H637" s="44" t="n">
        <f aca="false">SUM(H617:H636)</f>
        <v>0</v>
      </c>
      <c r="I637" s="44" t="n">
        <f aca="false">SUM(I617:I636)</f>
        <v>0</v>
      </c>
      <c r="J637" s="44" t="n">
        <f aca="false">SUM(J617:J636)</f>
        <v>2061</v>
      </c>
      <c r="K637" s="44" t="n">
        <f aca="false">SUM(K617:K636)</f>
        <v>2450</v>
      </c>
      <c r="L637" s="44" t="n">
        <f aca="false">SUM(L617:L636)</f>
        <v>4511</v>
      </c>
      <c r="M637" s="44" t="n">
        <f aca="false">SUM(M617:M636)</f>
        <v>2060</v>
      </c>
      <c r="N637" s="44" t="n">
        <f aca="false">SUM(N617:N636)</f>
        <v>2451</v>
      </c>
      <c r="O637" s="45" t="n">
        <f aca="false">SUM(O617:O636)</f>
        <v>4511</v>
      </c>
      <c r="P637" s="52"/>
    </row>
    <row r="638" customFormat="false" ht="15.75" hidden="false" customHeight="true" outlineLevel="0" collapsed="false">
      <c r="A638" s="67"/>
      <c r="B638" s="67"/>
      <c r="C638" s="67"/>
      <c r="D638" s="176"/>
      <c r="E638" s="122"/>
      <c r="F638" s="122"/>
      <c r="G638" s="2"/>
      <c r="H638" s="2"/>
      <c r="I638" s="2"/>
      <c r="J638" s="2"/>
      <c r="K638" s="2"/>
      <c r="L638" s="2"/>
      <c r="M638" s="2"/>
      <c r="N638" s="2"/>
      <c r="O638" s="2"/>
      <c r="P638" s="52"/>
    </row>
    <row r="639" customFormat="false" ht="15.75" hidden="false" customHeight="true" outlineLevel="0" collapsed="false">
      <c r="A639" s="68" t="s">
        <v>47</v>
      </c>
      <c r="B639" s="69"/>
      <c r="C639" s="69"/>
      <c r="D639" s="44" t="s">
        <v>23</v>
      </c>
      <c r="E639" s="44" t="s">
        <v>24</v>
      </c>
      <c r="F639" s="44" t="s">
        <v>25</v>
      </c>
      <c r="G639" s="44" t="s">
        <v>23</v>
      </c>
      <c r="H639" s="44" t="s">
        <v>24</v>
      </c>
      <c r="I639" s="44" t="s">
        <v>25</v>
      </c>
      <c r="J639" s="44" t="s">
        <v>23</v>
      </c>
      <c r="K639" s="44" t="s">
        <v>24</v>
      </c>
      <c r="L639" s="44" t="s">
        <v>25</v>
      </c>
      <c r="M639" s="44" t="s">
        <v>23</v>
      </c>
      <c r="N639" s="44" t="s">
        <v>24</v>
      </c>
      <c r="O639" s="45" t="s">
        <v>25</v>
      </c>
      <c r="P639" s="52"/>
    </row>
    <row r="640" customFormat="false" ht="15.75" hidden="false" customHeight="true" outlineLevel="0" collapsed="false">
      <c r="A640" s="92" t="s">
        <v>69</v>
      </c>
      <c r="B640" s="49"/>
      <c r="C640" s="49"/>
      <c r="D640" s="93"/>
      <c r="E640" s="49"/>
      <c r="F640" s="49"/>
      <c r="G640" s="49"/>
      <c r="H640" s="49"/>
      <c r="I640" s="93"/>
      <c r="J640" s="93"/>
      <c r="K640" s="93"/>
      <c r="L640" s="93"/>
      <c r="M640" s="93"/>
      <c r="N640" s="93"/>
      <c r="O640" s="94"/>
      <c r="P640" s="52"/>
    </row>
    <row r="641" customFormat="false" ht="15.75" hidden="false" customHeight="true" outlineLevel="0" collapsed="false">
      <c r="A641" s="95" t="s">
        <v>70</v>
      </c>
      <c r="B641" s="96"/>
      <c r="C641" s="96"/>
      <c r="D641" s="50"/>
      <c r="E641" s="123"/>
      <c r="F641" s="123"/>
      <c r="G641" s="123"/>
      <c r="H641" s="123"/>
      <c r="I641" s="50"/>
      <c r="J641" s="50"/>
      <c r="K641" s="50"/>
      <c r="L641" s="50"/>
      <c r="M641" s="50"/>
      <c r="N641" s="50"/>
      <c r="O641" s="51"/>
      <c r="P641" s="52"/>
    </row>
    <row r="642" customFormat="false" ht="15.75" hidden="false" customHeight="true" outlineLevel="0" collapsed="false">
      <c r="A642" s="97" t="s">
        <v>71</v>
      </c>
      <c r="B642" s="98"/>
      <c r="C642" s="98"/>
      <c r="D642" s="124"/>
      <c r="E642" s="125"/>
      <c r="F642" s="125"/>
      <c r="G642" s="125"/>
      <c r="H642" s="125"/>
      <c r="I642" s="124"/>
      <c r="J642" s="124"/>
      <c r="K642" s="124"/>
      <c r="L642" s="124"/>
      <c r="M642" s="124"/>
      <c r="N642" s="124"/>
      <c r="O642" s="126"/>
      <c r="P642" s="52"/>
    </row>
    <row r="643" customFormat="false" ht="15.75" hidden="false" customHeight="true" outlineLevel="0" collapsed="false">
      <c r="A643" s="109" t="s">
        <v>46</v>
      </c>
      <c r="B643" s="109"/>
      <c r="C643" s="109"/>
      <c r="D643" s="44" t="n">
        <v>0</v>
      </c>
      <c r="E643" s="44" t="n">
        <v>0</v>
      </c>
      <c r="F643" s="44" t="n">
        <v>0</v>
      </c>
      <c r="G643" s="44" t="n">
        <v>0</v>
      </c>
      <c r="H643" s="44" t="n">
        <v>0</v>
      </c>
      <c r="I643" s="44" t="n">
        <v>0</v>
      </c>
      <c r="J643" s="44" t="n">
        <v>0</v>
      </c>
      <c r="K643" s="44" t="n">
        <v>0</v>
      </c>
      <c r="L643" s="44" t="n">
        <v>0</v>
      </c>
      <c r="M643" s="44" t="n">
        <v>0</v>
      </c>
      <c r="N643" s="44" t="n">
        <v>0</v>
      </c>
      <c r="O643" s="45" t="n">
        <v>0</v>
      </c>
      <c r="P643" s="52"/>
    </row>
    <row r="644" customFormat="false" ht="15.75" hidden="false" customHeight="true" outlineLevel="0" collapsed="false">
      <c r="A644" s="75"/>
      <c r="B644" s="76"/>
      <c r="C644" s="76"/>
      <c r="D644" s="2"/>
      <c r="E644" s="77"/>
      <c r="F644" s="77"/>
      <c r="G644" s="77"/>
      <c r="H644" s="77"/>
      <c r="I644" s="2"/>
      <c r="J644" s="2"/>
      <c r="K644" s="2"/>
      <c r="L644" s="2"/>
      <c r="M644" s="2"/>
      <c r="N644" s="2"/>
      <c r="O644" s="2"/>
      <c r="P644" s="52"/>
    </row>
    <row r="645" customFormat="false" ht="15.75" hidden="false" customHeight="true" outlineLevel="0" collapsed="false">
      <c r="A645" s="78" t="s">
        <v>48</v>
      </c>
      <c r="B645" s="69"/>
      <c r="C645" s="69"/>
      <c r="D645" s="44" t="s">
        <v>23</v>
      </c>
      <c r="E645" s="44" t="s">
        <v>24</v>
      </c>
      <c r="F645" s="44" t="s">
        <v>25</v>
      </c>
      <c r="G645" s="44" t="s">
        <v>23</v>
      </c>
      <c r="H645" s="44" t="s">
        <v>24</v>
      </c>
      <c r="I645" s="44" t="s">
        <v>25</v>
      </c>
      <c r="J645" s="44" t="s">
        <v>23</v>
      </c>
      <c r="K645" s="44" t="s">
        <v>24</v>
      </c>
      <c r="L645" s="44" t="s">
        <v>25</v>
      </c>
      <c r="M645" s="44" t="s">
        <v>23</v>
      </c>
      <c r="N645" s="44" t="s">
        <v>24</v>
      </c>
      <c r="O645" s="45" t="s">
        <v>25</v>
      </c>
      <c r="P645" s="52"/>
    </row>
    <row r="646" customFormat="false" ht="15.75" hidden="false" customHeight="true" outlineLevel="0" collapsed="false">
      <c r="A646" s="177" t="s">
        <v>233</v>
      </c>
      <c r="B646" s="178" t="s">
        <v>234</v>
      </c>
      <c r="C646" s="103" t="s">
        <v>212</v>
      </c>
      <c r="D646" s="58" t="n">
        <v>0</v>
      </c>
      <c r="E646" s="58" t="n">
        <v>0</v>
      </c>
      <c r="F646" s="58" t="n">
        <v>0</v>
      </c>
      <c r="G646" s="58" t="n">
        <v>0</v>
      </c>
      <c r="H646" s="58" t="n">
        <v>0</v>
      </c>
      <c r="I646" s="58" t="n">
        <v>0</v>
      </c>
      <c r="J646" s="103" t="n">
        <v>63</v>
      </c>
      <c r="K646" s="103" t="n">
        <v>58</v>
      </c>
      <c r="L646" s="103" t="n">
        <v>121</v>
      </c>
      <c r="M646" s="58" t="n">
        <v>63</v>
      </c>
      <c r="N646" s="58" t="n">
        <v>58</v>
      </c>
      <c r="O646" s="59" t="n">
        <v>121</v>
      </c>
      <c r="P646" s="52" t="n">
        <f aca="false">+(N646-M646)/O646</f>
        <v>-0.0413223140495868</v>
      </c>
      <c r="Q646" s="2" t="n">
        <v>0</v>
      </c>
    </row>
    <row r="647" customFormat="false" ht="15.75" hidden="false" customHeight="true" outlineLevel="0" collapsed="false">
      <c r="A647" s="151" t="s">
        <v>235</v>
      </c>
      <c r="B647" s="178" t="s">
        <v>234</v>
      </c>
      <c r="C647" s="103" t="s">
        <v>212</v>
      </c>
      <c r="D647" s="58" t="n">
        <v>0</v>
      </c>
      <c r="E647" s="58" t="n">
        <v>0</v>
      </c>
      <c r="F647" s="58" t="n">
        <v>0</v>
      </c>
      <c r="G647" s="58" t="n">
        <v>0</v>
      </c>
      <c r="H647" s="58" t="n">
        <v>0</v>
      </c>
      <c r="I647" s="58" t="n">
        <v>0</v>
      </c>
      <c r="J647" s="58" t="n">
        <v>145</v>
      </c>
      <c r="K647" s="58" t="n">
        <v>126</v>
      </c>
      <c r="L647" s="103" t="n">
        <v>271</v>
      </c>
      <c r="M647" s="58" t="n">
        <v>145</v>
      </c>
      <c r="N647" s="58" t="n">
        <v>126</v>
      </c>
      <c r="O647" s="59" t="n">
        <v>271</v>
      </c>
      <c r="P647" s="52" t="n">
        <f aca="false">+(N647-M647)/O647</f>
        <v>-0.0701107011070111</v>
      </c>
      <c r="Q647" s="2" t="n">
        <v>0</v>
      </c>
    </row>
    <row r="648" customFormat="false" ht="15.75" hidden="false" customHeight="true" outlineLevel="0" collapsed="false">
      <c r="A648" s="149" t="s">
        <v>236</v>
      </c>
      <c r="B648" s="179" t="s">
        <v>234</v>
      </c>
      <c r="C648" s="93" t="s">
        <v>212</v>
      </c>
      <c r="D648" s="50" t="n">
        <v>0</v>
      </c>
      <c r="E648" s="50" t="n">
        <v>0</v>
      </c>
      <c r="F648" s="50" t="n">
        <v>0</v>
      </c>
      <c r="G648" s="50" t="n">
        <v>0</v>
      </c>
      <c r="H648" s="50" t="n">
        <v>0</v>
      </c>
      <c r="I648" s="50" t="n">
        <v>0</v>
      </c>
      <c r="J648" s="50" t="n">
        <v>147</v>
      </c>
      <c r="K648" s="50" t="n">
        <v>263</v>
      </c>
      <c r="L648" s="93" t="n">
        <v>410</v>
      </c>
      <c r="M648" s="50" t="n">
        <v>147</v>
      </c>
      <c r="N648" s="50" t="n">
        <v>263</v>
      </c>
      <c r="O648" s="51" t="n">
        <v>410</v>
      </c>
      <c r="P648" s="52" t="n">
        <f aca="false">+(N648-M648)/O648</f>
        <v>0.282926829268293</v>
      </c>
    </row>
    <row r="649" customFormat="false" ht="15.75" hidden="false" customHeight="true" outlineLevel="0" collapsed="false">
      <c r="A649" s="149" t="s">
        <v>237</v>
      </c>
      <c r="B649" s="180" t="s">
        <v>238</v>
      </c>
      <c r="C649" s="93" t="s">
        <v>212</v>
      </c>
      <c r="D649" s="50" t="n">
        <v>0</v>
      </c>
      <c r="E649" s="50" t="n">
        <v>0</v>
      </c>
      <c r="F649" s="50" t="n">
        <v>0</v>
      </c>
      <c r="G649" s="50" t="n">
        <v>0</v>
      </c>
      <c r="H649" s="50" t="n">
        <v>0</v>
      </c>
      <c r="I649" s="50" t="n">
        <v>0</v>
      </c>
      <c r="J649" s="50" t="n">
        <v>46</v>
      </c>
      <c r="K649" s="50" t="n">
        <v>249</v>
      </c>
      <c r="L649" s="93" t="n">
        <v>295</v>
      </c>
      <c r="M649" s="50" t="n">
        <v>46</v>
      </c>
      <c r="N649" s="50" t="n">
        <v>249</v>
      </c>
      <c r="O649" s="51" t="n">
        <v>295</v>
      </c>
      <c r="P649" s="52" t="n">
        <f aca="false">+(N649-M649)/O649</f>
        <v>0.688135593220339</v>
      </c>
    </row>
    <row r="650" customFormat="false" ht="15.75" hidden="false" customHeight="true" outlineLevel="0" collapsed="false">
      <c r="A650" s="149" t="s">
        <v>239</v>
      </c>
      <c r="B650" s="180" t="s">
        <v>240</v>
      </c>
      <c r="C650" s="93" t="s">
        <v>212</v>
      </c>
      <c r="D650" s="50" t="n">
        <v>0</v>
      </c>
      <c r="E650" s="50" t="n">
        <v>0</v>
      </c>
      <c r="F650" s="50" t="n">
        <v>0</v>
      </c>
      <c r="G650" s="50" t="n">
        <v>0</v>
      </c>
      <c r="H650" s="50" t="n">
        <v>0</v>
      </c>
      <c r="I650" s="50" t="n">
        <v>0</v>
      </c>
      <c r="J650" s="50" t="n">
        <v>49</v>
      </c>
      <c r="K650" s="50" t="n">
        <v>194</v>
      </c>
      <c r="L650" s="93" t="n">
        <v>243</v>
      </c>
      <c r="M650" s="50" t="n">
        <v>49</v>
      </c>
      <c r="N650" s="50" t="n">
        <v>194</v>
      </c>
      <c r="O650" s="51" t="n">
        <v>243</v>
      </c>
      <c r="P650" s="52" t="n">
        <f aca="false">+(N650-M650)/O650</f>
        <v>0.596707818930041</v>
      </c>
    </row>
    <row r="651" customFormat="false" ht="15.75" hidden="false" customHeight="true" outlineLevel="0" collapsed="false">
      <c r="A651" s="151" t="s">
        <v>241</v>
      </c>
      <c r="B651" s="181" t="s">
        <v>242</v>
      </c>
      <c r="C651" s="103" t="s">
        <v>212</v>
      </c>
      <c r="D651" s="58" t="n">
        <v>0</v>
      </c>
      <c r="E651" s="58" t="n">
        <v>0</v>
      </c>
      <c r="F651" s="58" t="n">
        <v>0</v>
      </c>
      <c r="G651" s="58" t="n">
        <v>0</v>
      </c>
      <c r="H651" s="58" t="n">
        <v>0</v>
      </c>
      <c r="I651" s="58" t="n">
        <v>0</v>
      </c>
      <c r="J651" s="58" t="n">
        <v>16</v>
      </c>
      <c r="K651" s="58" t="n">
        <v>11</v>
      </c>
      <c r="L651" s="103" t="n">
        <v>27</v>
      </c>
      <c r="M651" s="58" t="n">
        <v>16</v>
      </c>
      <c r="N651" s="58" t="n">
        <v>11</v>
      </c>
      <c r="O651" s="59" t="n">
        <v>27</v>
      </c>
      <c r="P651" s="52" t="n">
        <f aca="false">+(N651-M651)/O651</f>
        <v>-0.185185185185185</v>
      </c>
      <c r="Q651" s="2" t="n">
        <v>0</v>
      </c>
    </row>
    <row r="652" customFormat="false" ht="15.75" hidden="false" customHeight="true" outlineLevel="0" collapsed="false">
      <c r="A652" s="153" t="s">
        <v>64</v>
      </c>
      <c r="B652" s="182" t="s">
        <v>243</v>
      </c>
      <c r="C652" s="122" t="s">
        <v>212</v>
      </c>
      <c r="D652" s="50" t="n">
        <v>0</v>
      </c>
      <c r="E652" s="50" t="n">
        <v>0</v>
      </c>
      <c r="F652" s="50" t="n">
        <v>0</v>
      </c>
      <c r="G652" s="73" t="n">
        <v>0</v>
      </c>
      <c r="H652" s="73" t="n">
        <v>0</v>
      </c>
      <c r="I652" s="50" t="n">
        <v>0</v>
      </c>
      <c r="J652" s="73" t="n">
        <v>63</v>
      </c>
      <c r="K652" s="73" t="n">
        <v>189</v>
      </c>
      <c r="L652" s="93" t="n">
        <v>252</v>
      </c>
      <c r="M652" s="50" t="n">
        <v>63</v>
      </c>
      <c r="N652" s="50" t="n">
        <v>189</v>
      </c>
      <c r="O652" s="51" t="n">
        <v>252</v>
      </c>
      <c r="P652" s="52" t="n">
        <f aca="false">+(N652-M652)/O652</f>
        <v>0.5</v>
      </c>
    </row>
    <row r="653" customFormat="false" ht="15.75" hidden="false" customHeight="true" outlineLevel="0" collapsed="false">
      <c r="A653" s="109" t="s">
        <v>46</v>
      </c>
      <c r="B653" s="109"/>
      <c r="C653" s="109"/>
      <c r="D653" s="44" t="n">
        <f aca="false">SUM(D646:D652)</f>
        <v>0</v>
      </c>
      <c r="E653" s="44" t="n">
        <f aca="false">SUM(E646:E652)</f>
        <v>0</v>
      </c>
      <c r="F653" s="44" t="n">
        <f aca="false">SUM(F646:F652)</f>
        <v>0</v>
      </c>
      <c r="G653" s="44" t="n">
        <f aca="false">SUM(G646:G652)</f>
        <v>0</v>
      </c>
      <c r="H653" s="44" t="n">
        <f aca="false">SUM(H646:H652)</f>
        <v>0</v>
      </c>
      <c r="I653" s="44" t="n">
        <f aca="false">SUM(I646:I652)</f>
        <v>0</v>
      </c>
      <c r="J653" s="44" t="n">
        <f aca="false">SUM(J646:J652)</f>
        <v>529</v>
      </c>
      <c r="K653" s="44" t="n">
        <f aca="false">SUM(K646:K652)</f>
        <v>1090</v>
      </c>
      <c r="L653" s="44" t="n">
        <f aca="false">SUM(L646:L652)</f>
        <v>1619</v>
      </c>
      <c r="M653" s="44" t="n">
        <f aca="false">SUM(M646:M652)</f>
        <v>529</v>
      </c>
      <c r="N653" s="44" t="n">
        <f aca="false">SUM(N646:N652)</f>
        <v>1090</v>
      </c>
      <c r="O653" s="45" t="n">
        <f aca="false">SUM(O646:O652)</f>
        <v>1619</v>
      </c>
      <c r="P653" s="52"/>
    </row>
    <row r="654" customFormat="false" ht="15.75" hidden="false" customHeight="true" outlineLevel="0" collapsed="false">
      <c r="A654" s="75"/>
      <c r="B654" s="76"/>
      <c r="C654" s="4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52"/>
    </row>
    <row r="655" customFormat="false" ht="15.75" hidden="false" customHeight="true" outlineLevel="0" collapsed="false">
      <c r="A655" s="78" t="s">
        <v>68</v>
      </c>
      <c r="B655" s="89"/>
      <c r="C655" s="89"/>
      <c r="D655" s="44" t="s">
        <v>23</v>
      </c>
      <c r="E655" s="44" t="s">
        <v>24</v>
      </c>
      <c r="F655" s="44" t="s">
        <v>25</v>
      </c>
      <c r="G655" s="44" t="s">
        <v>23</v>
      </c>
      <c r="H655" s="44" t="s">
        <v>24</v>
      </c>
      <c r="I655" s="44" t="s">
        <v>25</v>
      </c>
      <c r="J655" s="44" t="s">
        <v>23</v>
      </c>
      <c r="K655" s="44" t="s">
        <v>24</v>
      </c>
      <c r="L655" s="44" t="s">
        <v>25</v>
      </c>
      <c r="M655" s="44" t="s">
        <v>23</v>
      </c>
      <c r="N655" s="44" t="s">
        <v>24</v>
      </c>
      <c r="O655" s="45" t="s">
        <v>25</v>
      </c>
      <c r="P655" s="52"/>
    </row>
    <row r="656" customFormat="false" ht="20.25" hidden="false" customHeight="true" outlineLevel="0" collapsed="false">
      <c r="A656" s="183" t="s">
        <v>69</v>
      </c>
      <c r="B656" s="184"/>
      <c r="C656" s="185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7"/>
      <c r="P656" s="52"/>
    </row>
    <row r="657" customFormat="false" ht="15.75" hidden="false" customHeight="true" outlineLevel="0" collapsed="false">
      <c r="A657" s="95" t="s">
        <v>70</v>
      </c>
      <c r="B657" s="188"/>
      <c r="C657" s="188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90"/>
      <c r="P657" s="52"/>
    </row>
    <row r="658" customFormat="false" ht="15.75" hidden="false" customHeight="true" outlineLevel="0" collapsed="false">
      <c r="A658" s="191" t="s">
        <v>71</v>
      </c>
      <c r="B658" s="192"/>
      <c r="C658" s="193"/>
      <c r="D658" s="93"/>
      <c r="E658" s="93"/>
      <c r="F658" s="93"/>
      <c r="G658" s="194"/>
      <c r="H658" s="122"/>
      <c r="I658" s="122"/>
      <c r="J658" s="122"/>
      <c r="K658" s="122"/>
      <c r="L658" s="122"/>
      <c r="M658" s="93"/>
      <c r="N658" s="93"/>
      <c r="O658" s="51"/>
      <c r="P658" s="52"/>
    </row>
    <row r="659" customFormat="false" ht="15.75" hidden="false" customHeight="true" outlineLevel="0" collapsed="false">
      <c r="A659" s="109" t="s">
        <v>46</v>
      </c>
      <c r="B659" s="109"/>
      <c r="C659" s="109"/>
      <c r="D659" s="44" t="n">
        <f aca="false">D658</f>
        <v>0</v>
      </c>
      <c r="E659" s="44" t="n">
        <f aca="false">E658</f>
        <v>0</v>
      </c>
      <c r="F659" s="44" t="n">
        <f aca="false">F658</f>
        <v>0</v>
      </c>
      <c r="G659" s="44" t="n">
        <f aca="false">G658</f>
        <v>0</v>
      </c>
      <c r="H659" s="44" t="n">
        <f aca="false">H658</f>
        <v>0</v>
      </c>
      <c r="I659" s="44" t="n">
        <f aca="false">I658</f>
        <v>0</v>
      </c>
      <c r="J659" s="44" t="n">
        <f aca="false">J658</f>
        <v>0</v>
      </c>
      <c r="K659" s="44" t="n">
        <f aca="false">K658</f>
        <v>0</v>
      </c>
      <c r="L659" s="44" t="n">
        <f aca="false">L658</f>
        <v>0</v>
      </c>
      <c r="M659" s="44" t="n">
        <f aca="false">M658</f>
        <v>0</v>
      </c>
      <c r="N659" s="44" t="n">
        <f aca="false">N658</f>
        <v>0</v>
      </c>
      <c r="O659" s="45" t="n">
        <f aca="false">O658</f>
        <v>0</v>
      </c>
      <c r="P659" s="52"/>
    </row>
    <row r="660" customFormat="false" ht="15.75" hidden="false" customHeight="true" outlineLevel="0" collapsed="false">
      <c r="A660" s="67"/>
      <c r="B660" s="76"/>
      <c r="C660" s="76"/>
      <c r="D660" s="2"/>
      <c r="E660" s="2"/>
      <c r="F660" s="2"/>
      <c r="G660" s="2"/>
      <c r="H660" s="2"/>
      <c r="I660" s="76"/>
      <c r="J660" s="2"/>
      <c r="K660" s="2"/>
      <c r="L660" s="2"/>
      <c r="M660" s="2"/>
      <c r="N660" s="2"/>
      <c r="O660" s="2"/>
      <c r="P660" s="52"/>
    </row>
    <row r="661" customFormat="false" ht="15.75" hidden="false" customHeight="true" outlineLevel="0" collapsed="false">
      <c r="A661" s="78" t="s">
        <v>72</v>
      </c>
      <c r="B661" s="69"/>
      <c r="C661" s="69"/>
      <c r="D661" s="44" t="s">
        <v>23</v>
      </c>
      <c r="E661" s="44" t="s">
        <v>24</v>
      </c>
      <c r="F661" s="44" t="s">
        <v>25</v>
      </c>
      <c r="G661" s="44" t="s">
        <v>23</v>
      </c>
      <c r="H661" s="44" t="s">
        <v>24</v>
      </c>
      <c r="I661" s="44" t="s">
        <v>25</v>
      </c>
      <c r="J661" s="44" t="s">
        <v>23</v>
      </c>
      <c r="K661" s="44" t="s">
        <v>24</v>
      </c>
      <c r="L661" s="44" t="s">
        <v>25</v>
      </c>
      <c r="M661" s="44" t="s">
        <v>23</v>
      </c>
      <c r="N661" s="44" t="s">
        <v>24</v>
      </c>
      <c r="O661" s="45" t="s">
        <v>25</v>
      </c>
      <c r="P661" s="52"/>
    </row>
    <row r="662" customFormat="false" ht="15.75" hidden="false" customHeight="true" outlineLevel="0" collapsed="false">
      <c r="A662" s="195" t="s">
        <v>244</v>
      </c>
      <c r="B662" s="178" t="s">
        <v>234</v>
      </c>
      <c r="C662" s="103" t="s">
        <v>212</v>
      </c>
      <c r="D662" s="58" t="n">
        <v>0</v>
      </c>
      <c r="E662" s="58" t="n">
        <v>0</v>
      </c>
      <c r="F662" s="165" t="n">
        <v>0</v>
      </c>
      <c r="G662" s="165" t="n">
        <v>0</v>
      </c>
      <c r="H662" s="165" t="n">
        <v>0</v>
      </c>
      <c r="I662" s="165" t="n">
        <v>0</v>
      </c>
      <c r="J662" s="165" t="n">
        <v>8</v>
      </c>
      <c r="K662" s="165" t="n">
        <v>5</v>
      </c>
      <c r="L662" s="165" t="n">
        <v>13</v>
      </c>
      <c r="M662" s="165" t="n">
        <v>8</v>
      </c>
      <c r="N662" s="165" t="n">
        <v>5</v>
      </c>
      <c r="O662" s="196" t="n">
        <v>13</v>
      </c>
      <c r="P662" s="52" t="n">
        <f aca="false">+(N662-M662)/O662</f>
        <v>-0.230769230769231</v>
      </c>
      <c r="Q662" s="2" t="n">
        <v>0</v>
      </c>
    </row>
    <row r="663" customFormat="false" ht="15.75" hidden="false" customHeight="true" outlineLevel="0" collapsed="false">
      <c r="A663" s="104" t="s">
        <v>245</v>
      </c>
      <c r="B663" s="180" t="s">
        <v>238</v>
      </c>
      <c r="C663" s="50" t="s">
        <v>212</v>
      </c>
      <c r="D663" s="50" t="n">
        <v>0</v>
      </c>
      <c r="E663" s="50" t="n">
        <v>0</v>
      </c>
      <c r="F663" s="93" t="n">
        <v>0</v>
      </c>
      <c r="G663" s="50" t="n">
        <v>0</v>
      </c>
      <c r="H663" s="50" t="n">
        <v>0</v>
      </c>
      <c r="I663" s="50" t="n">
        <v>0</v>
      </c>
      <c r="J663" s="50" t="n">
        <v>4</v>
      </c>
      <c r="K663" s="50" t="n">
        <v>10</v>
      </c>
      <c r="L663" s="50" t="n">
        <v>14</v>
      </c>
      <c r="M663" s="50" t="n">
        <v>4</v>
      </c>
      <c r="N663" s="50" t="n">
        <v>10</v>
      </c>
      <c r="O663" s="51" t="n">
        <v>14</v>
      </c>
      <c r="P663" s="52" t="n">
        <f aca="false">+(N663-M663)/O663</f>
        <v>0.428571428571429</v>
      </c>
    </row>
    <row r="664" customFormat="false" ht="15.75" hidden="false" customHeight="true" outlineLevel="0" collapsed="false">
      <c r="A664" s="109" t="s">
        <v>46</v>
      </c>
      <c r="B664" s="109"/>
      <c r="C664" s="109"/>
      <c r="D664" s="44" t="n">
        <f aca="false">SUM(D662:D663)</f>
        <v>0</v>
      </c>
      <c r="E664" s="44" t="n">
        <f aca="false">SUM(E662:E663)</f>
        <v>0</v>
      </c>
      <c r="F664" s="44" t="n">
        <f aca="false">SUM(F662:F663)</f>
        <v>0</v>
      </c>
      <c r="G664" s="44" t="n">
        <f aca="false">SUM(G662:G663)</f>
        <v>0</v>
      </c>
      <c r="H664" s="44" t="n">
        <f aca="false">SUM(H662:H663)</f>
        <v>0</v>
      </c>
      <c r="I664" s="44" t="n">
        <f aca="false">SUM(I662:I663)</f>
        <v>0</v>
      </c>
      <c r="J664" s="44" t="n">
        <f aca="false">SUM(J662:J663)</f>
        <v>12</v>
      </c>
      <c r="K664" s="44" t="n">
        <f aca="false">SUM(K662:K663)</f>
        <v>15</v>
      </c>
      <c r="L664" s="44" t="n">
        <f aca="false">SUM(L662:L663)</f>
        <v>27</v>
      </c>
      <c r="M664" s="44" t="n">
        <f aca="false">SUM(M662:M663)</f>
        <v>12</v>
      </c>
      <c r="N664" s="44" t="n">
        <f aca="false">SUM(N662:N663)</f>
        <v>15</v>
      </c>
      <c r="O664" s="45" t="n">
        <f aca="false">SUM(O662:O663)</f>
        <v>27</v>
      </c>
      <c r="P664" s="52"/>
    </row>
    <row r="665" customFormat="false" ht="15.75" hidden="false" customHeight="true" outlineLevel="0" collapsed="false">
      <c r="A665" s="67"/>
      <c r="B665" s="76"/>
      <c r="C665" s="7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52"/>
    </row>
    <row r="666" customFormat="false" ht="15.75" hidden="false" customHeight="true" outlineLevel="0" collapsed="false">
      <c r="A666" s="78" t="s">
        <v>76</v>
      </c>
      <c r="B666" s="69"/>
      <c r="C666" s="69"/>
      <c r="D666" s="44" t="s">
        <v>23</v>
      </c>
      <c r="E666" s="44" t="s">
        <v>24</v>
      </c>
      <c r="F666" s="44" t="s">
        <v>25</v>
      </c>
      <c r="G666" s="44" t="s">
        <v>23</v>
      </c>
      <c r="H666" s="44" t="s">
        <v>24</v>
      </c>
      <c r="I666" s="44" t="s">
        <v>25</v>
      </c>
      <c r="J666" s="44" t="s">
        <v>23</v>
      </c>
      <c r="K666" s="44" t="s">
        <v>24</v>
      </c>
      <c r="L666" s="44" t="s">
        <v>25</v>
      </c>
      <c r="M666" s="44" t="s">
        <v>23</v>
      </c>
      <c r="N666" s="44" t="s">
        <v>24</v>
      </c>
      <c r="O666" s="45" t="s">
        <v>25</v>
      </c>
      <c r="P666" s="52"/>
    </row>
    <row r="667" customFormat="false" ht="15.75" hidden="false" customHeight="true" outlineLevel="0" collapsed="false">
      <c r="A667" s="197" t="s">
        <v>246</v>
      </c>
      <c r="B667" s="198" t="s">
        <v>234</v>
      </c>
      <c r="C667" s="199" t="s">
        <v>212</v>
      </c>
      <c r="D667" s="200" t="n">
        <v>5</v>
      </c>
      <c r="E667" s="200" t="n">
        <v>0</v>
      </c>
      <c r="F667" s="200" t="n">
        <v>5</v>
      </c>
      <c r="G667" s="200" t="n">
        <v>5</v>
      </c>
      <c r="H667" s="200" t="n">
        <v>0</v>
      </c>
      <c r="I667" s="200" t="n">
        <v>5</v>
      </c>
      <c r="J667" s="200" t="n">
        <v>0</v>
      </c>
      <c r="K667" s="200" t="n">
        <v>0</v>
      </c>
      <c r="L667" s="200" t="n">
        <v>0</v>
      </c>
      <c r="M667" s="200" t="n">
        <v>5</v>
      </c>
      <c r="N667" s="200" t="n">
        <v>0</v>
      </c>
      <c r="O667" s="201" t="n">
        <v>5</v>
      </c>
      <c r="P667" s="52" t="n">
        <f aca="false">+(N667-M667)/O667</f>
        <v>-1</v>
      </c>
      <c r="Q667" s="2" t="n">
        <v>0</v>
      </c>
    </row>
    <row r="668" customFormat="false" ht="15.75" hidden="false" customHeight="true" outlineLevel="0" collapsed="false">
      <c r="A668" s="202" t="s">
        <v>46</v>
      </c>
      <c r="B668" s="202"/>
      <c r="C668" s="202"/>
      <c r="D668" s="203" t="n">
        <f aca="false">SUM(D667)</f>
        <v>5</v>
      </c>
      <c r="E668" s="203" t="n">
        <f aca="false">SUM(E667)</f>
        <v>0</v>
      </c>
      <c r="F668" s="203" t="n">
        <f aca="false">SUM(F667)</f>
        <v>5</v>
      </c>
      <c r="G668" s="203" t="n">
        <f aca="false">SUM(G667)</f>
        <v>5</v>
      </c>
      <c r="H668" s="203" t="n">
        <f aca="false">SUM(H667)</f>
        <v>0</v>
      </c>
      <c r="I668" s="203" t="n">
        <f aca="false">SUM(I667)</f>
        <v>5</v>
      </c>
      <c r="J668" s="203" t="n">
        <f aca="false">SUM(J667)</f>
        <v>0</v>
      </c>
      <c r="K668" s="203" t="n">
        <f aca="false">SUM(K667)</f>
        <v>0</v>
      </c>
      <c r="L668" s="203" t="n">
        <f aca="false">SUM(L667)</f>
        <v>0</v>
      </c>
      <c r="M668" s="203" t="n">
        <f aca="false">SUM(M667)</f>
        <v>5</v>
      </c>
      <c r="N668" s="203" t="n">
        <f aca="false">SUM(N667)</f>
        <v>0</v>
      </c>
      <c r="O668" s="204" t="n">
        <f aca="false">SUM(O667)</f>
        <v>5</v>
      </c>
      <c r="P668" s="52"/>
    </row>
    <row r="669" customFormat="false" ht="15.75" hidden="false" customHeight="true" outlineLevel="0" collapsed="false">
      <c r="A669" s="111" t="s">
        <v>77</v>
      </c>
      <c r="B669" s="111"/>
      <c r="C669" s="111"/>
      <c r="D669" s="44" t="n">
        <f aca="false">SUM(D637+D653+D659+D664+D668)</f>
        <v>5</v>
      </c>
      <c r="E669" s="44" t="n">
        <f aca="false">SUM(E637+E653+E659+E664+E668)</f>
        <v>0</v>
      </c>
      <c r="F669" s="44" t="n">
        <f aca="false">SUM(F637+F653+F659+F664+F668)</f>
        <v>5</v>
      </c>
      <c r="G669" s="44" t="n">
        <f aca="false">SUM(G637+G653+G659+G664+G668)</f>
        <v>5</v>
      </c>
      <c r="H669" s="44" t="n">
        <f aca="false">SUM(H637+H653+H659+H664+H668)</f>
        <v>0</v>
      </c>
      <c r="I669" s="44" t="n">
        <f aca="false">SUM(I637+I653+I659+I664+I668)</f>
        <v>5</v>
      </c>
      <c r="J669" s="44" t="n">
        <f aca="false">SUM(J637+J653+J659+J664+J668)</f>
        <v>2602</v>
      </c>
      <c r="K669" s="44" t="n">
        <f aca="false">SUM(K637+K653+K659+K664+K668)</f>
        <v>3555</v>
      </c>
      <c r="L669" s="44" t="n">
        <f aca="false">SUM(L637+L653+L659+L664+L668)</f>
        <v>6157</v>
      </c>
      <c r="M669" s="44" t="n">
        <f aca="false">SUM(M637+M653+M659+M664+M668)</f>
        <v>2606</v>
      </c>
      <c r="N669" s="44" t="n">
        <f aca="false">SUM(N637+N653+N659+N664+N668)</f>
        <v>3556</v>
      </c>
      <c r="O669" s="45" t="n">
        <f aca="false">SUM(O637+O653+O659+O664+O668)</f>
        <v>6162</v>
      </c>
      <c r="P669" s="52"/>
    </row>
    <row r="670" customFormat="false" ht="15.75" hidden="false" customHeight="true" outlineLevel="0" collapsed="false">
      <c r="A670" s="67"/>
      <c r="B670" s="67"/>
      <c r="C670" s="67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52"/>
    </row>
    <row r="671" customFormat="false" ht="15.75" hidden="false" customHeight="true" outlineLevel="0" collapsed="false">
      <c r="A671" s="206" t="s">
        <v>247</v>
      </c>
      <c r="B671" s="206"/>
      <c r="C671" s="206"/>
      <c r="D671" s="207" t="n">
        <f aca="false">SUM(D414+D470+D562+D609+D669)</f>
        <v>26</v>
      </c>
      <c r="E671" s="207" t="n">
        <f aca="false">SUM(E414+E470+E562+E609+E669)</f>
        <v>35</v>
      </c>
      <c r="F671" s="207" t="n">
        <f aca="false">SUM(F414+F470+F562+F609+F669)</f>
        <v>61</v>
      </c>
      <c r="G671" s="207" t="n">
        <f aca="false">SUM(G414+G470+G562+G609+G669)</f>
        <v>26</v>
      </c>
      <c r="H671" s="207" t="n">
        <f aca="false">SUM(H414+H470+H562+H609+H669)</f>
        <v>35</v>
      </c>
      <c r="I671" s="207" t="n">
        <f aca="false">SUM(I414+I470+I562+I609+I669)</f>
        <v>61</v>
      </c>
      <c r="J671" s="207" t="n">
        <f aca="false">SUM(J414+J470+J562+J609+J669)</f>
        <v>12388</v>
      </c>
      <c r="K671" s="207" t="n">
        <f aca="false">SUM(K414+K470+K562+K609+K669)</f>
        <v>15563</v>
      </c>
      <c r="L671" s="207" t="n">
        <f aca="false">SUM(L414+L470+L562+L609+L669)</f>
        <v>27951</v>
      </c>
      <c r="M671" s="207" t="n">
        <f aca="false">SUM(M414+M470+M562+M609+M669)</f>
        <v>12413</v>
      </c>
      <c r="N671" s="207" t="n">
        <f aca="false">SUM(N414+N470+N562+N609+N669)</f>
        <v>15599</v>
      </c>
      <c r="O671" s="207" t="n">
        <f aca="false">SUM(O414+O470+O562+O609+O669)</f>
        <v>28012</v>
      </c>
      <c r="P671" s="52"/>
    </row>
    <row r="672" customFormat="false" ht="24.75" hidden="false" customHeight="true" outlineLevel="0" collapsed="false">
      <c r="A672" s="208"/>
      <c r="B672" s="208"/>
      <c r="C672" s="208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52"/>
    </row>
    <row r="673" customFormat="false" ht="29.25" hidden="false" customHeight="true" outlineLevel="0" collapsed="false">
      <c r="A673" s="210" t="s">
        <v>248</v>
      </c>
      <c r="B673" s="210"/>
      <c r="C673" s="210"/>
      <c r="D673" s="210"/>
      <c r="E673" s="210"/>
      <c r="F673" s="210"/>
      <c r="G673" s="210"/>
      <c r="H673" s="210"/>
      <c r="I673" s="210"/>
      <c r="J673" s="210"/>
      <c r="K673" s="210"/>
      <c r="L673" s="210"/>
      <c r="M673" s="210"/>
      <c r="N673" s="210"/>
      <c r="O673" s="210"/>
      <c r="P673" s="52"/>
    </row>
    <row r="674" customFormat="false" ht="15.75" hidden="false" customHeight="true" outlineLevel="0" collapsed="false">
      <c r="A674" s="34" t="s">
        <v>249</v>
      </c>
      <c r="B674" s="34"/>
      <c r="C674" s="34"/>
      <c r="D674" s="34"/>
      <c r="E674" s="34"/>
      <c r="F674" s="34"/>
      <c r="G674" s="35" t="s">
        <v>13</v>
      </c>
      <c r="H674" s="35"/>
      <c r="I674" s="35"/>
      <c r="J674" s="35"/>
      <c r="K674" s="35"/>
      <c r="L674" s="35"/>
      <c r="M674" s="35"/>
      <c r="N674" s="35"/>
      <c r="O674" s="35"/>
      <c r="P674" s="52"/>
    </row>
    <row r="675" customFormat="false" ht="24" hidden="false" customHeight="true" outlineLevel="0" collapsed="false">
      <c r="A675" s="35" t="s">
        <v>108</v>
      </c>
      <c r="B675" s="38" t="s">
        <v>16</v>
      </c>
      <c r="C675" s="38" t="s">
        <v>17</v>
      </c>
      <c r="D675" s="38" t="s">
        <v>18</v>
      </c>
      <c r="E675" s="38"/>
      <c r="F675" s="38"/>
      <c r="G675" s="38" t="s">
        <v>19</v>
      </c>
      <c r="H675" s="38"/>
      <c r="I675" s="38"/>
      <c r="J675" s="38" t="s">
        <v>20</v>
      </c>
      <c r="K675" s="38"/>
      <c r="L675" s="38"/>
      <c r="M675" s="38" t="s">
        <v>21</v>
      </c>
      <c r="N675" s="38"/>
      <c r="O675" s="38"/>
      <c r="P675" s="52"/>
      <c r="Q675" s="5"/>
      <c r="R675" s="40"/>
      <c r="S675" s="40"/>
      <c r="T675" s="40"/>
      <c r="U675" s="40"/>
      <c r="V675" s="40"/>
      <c r="W675" s="40"/>
      <c r="X675" s="40"/>
      <c r="Y675" s="40"/>
      <c r="Z675" s="40"/>
    </row>
    <row r="676" customFormat="false" ht="15.75" hidden="false" customHeight="true" outlineLevel="0" collapsed="false">
      <c r="A676" s="35" t="s">
        <v>109</v>
      </c>
      <c r="B676" s="89"/>
      <c r="C676" s="89"/>
      <c r="D676" s="44" t="s">
        <v>23</v>
      </c>
      <c r="E676" s="44" t="s">
        <v>24</v>
      </c>
      <c r="F676" s="44" t="s">
        <v>25</v>
      </c>
      <c r="G676" s="44" t="s">
        <v>23</v>
      </c>
      <c r="H676" s="44" t="s">
        <v>24</v>
      </c>
      <c r="I676" s="44" t="s">
        <v>25</v>
      </c>
      <c r="J676" s="44" t="s">
        <v>23</v>
      </c>
      <c r="K676" s="44" t="s">
        <v>24</v>
      </c>
      <c r="L676" s="44" t="s">
        <v>25</v>
      </c>
      <c r="M676" s="44" t="s">
        <v>23</v>
      </c>
      <c r="N676" s="44" t="s">
        <v>24</v>
      </c>
      <c r="O676" s="45" t="s">
        <v>25</v>
      </c>
      <c r="P676" s="90"/>
      <c r="R676" s="91"/>
      <c r="S676" s="91"/>
      <c r="T676" s="91"/>
      <c r="U676" s="91"/>
      <c r="V676" s="91"/>
      <c r="W676" s="91"/>
      <c r="X676" s="91"/>
      <c r="Y676" s="91"/>
      <c r="Z676" s="91"/>
    </row>
    <row r="677" customFormat="false" ht="15.75" hidden="false" customHeight="true" outlineLevel="0" collapsed="false">
      <c r="A677" s="53" t="s">
        <v>250</v>
      </c>
      <c r="B677" s="63" t="s">
        <v>45</v>
      </c>
      <c r="C677" s="49" t="s">
        <v>28</v>
      </c>
      <c r="D677" s="50" t="n">
        <v>0</v>
      </c>
      <c r="E677" s="50" t="n">
        <v>0</v>
      </c>
      <c r="F677" s="50" t="n">
        <v>0</v>
      </c>
      <c r="G677" s="50" t="n">
        <v>0</v>
      </c>
      <c r="H677" s="50" t="n">
        <v>0</v>
      </c>
      <c r="I677" s="50" t="n">
        <v>0</v>
      </c>
      <c r="J677" s="50" t="n">
        <v>9</v>
      </c>
      <c r="K677" s="50" t="n">
        <v>20</v>
      </c>
      <c r="L677" s="135" t="n">
        <v>29</v>
      </c>
      <c r="M677" s="105" t="n">
        <v>9</v>
      </c>
      <c r="N677" s="50" t="n">
        <v>20</v>
      </c>
      <c r="O677" s="51" t="n">
        <v>29</v>
      </c>
      <c r="P677" s="52" t="n">
        <f aca="false">+(N677-M677)/O677</f>
        <v>0.379310344827586</v>
      </c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211" t="s">
        <v>251</v>
      </c>
      <c r="B678" s="82" t="s">
        <v>45</v>
      </c>
      <c r="C678" s="57" t="s">
        <v>28</v>
      </c>
      <c r="D678" s="212" t="n">
        <v>0</v>
      </c>
      <c r="E678" s="212" t="n">
        <v>0</v>
      </c>
      <c r="F678" s="212" t="n">
        <v>0</v>
      </c>
      <c r="G678" s="212" t="n">
        <v>0</v>
      </c>
      <c r="H678" s="212" t="n">
        <v>0</v>
      </c>
      <c r="I678" s="212" t="n">
        <v>0</v>
      </c>
      <c r="J678" s="212" t="n">
        <v>23</v>
      </c>
      <c r="K678" s="212" t="n">
        <v>3</v>
      </c>
      <c r="L678" s="213" t="n">
        <v>26</v>
      </c>
      <c r="M678" s="214" t="n">
        <v>23</v>
      </c>
      <c r="N678" s="212" t="n">
        <v>3</v>
      </c>
      <c r="O678" s="215" t="n">
        <v>26</v>
      </c>
      <c r="P678" s="52" t="n">
        <f aca="false">+(N678-M678)/O678</f>
        <v>-0.769230769230769</v>
      </c>
      <c r="Q678" s="2" t="n">
        <v>0</v>
      </c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109" t="s">
        <v>46</v>
      </c>
      <c r="B679" s="109"/>
      <c r="C679" s="109"/>
      <c r="D679" s="44" t="n">
        <f aca="false">SUM(D677)</f>
        <v>0</v>
      </c>
      <c r="E679" s="44" t="n">
        <f aca="false">SUM(E677)</f>
        <v>0</v>
      </c>
      <c r="F679" s="44" t="n">
        <f aca="false">SUM(F677)</f>
        <v>0</v>
      </c>
      <c r="G679" s="44" t="n">
        <f aca="false">SUM(G677)</f>
        <v>0</v>
      </c>
      <c r="H679" s="44" t="n">
        <f aca="false">SUM(H677)</f>
        <v>0</v>
      </c>
      <c r="I679" s="44" t="n">
        <f aca="false">SUM(I677)</f>
        <v>0</v>
      </c>
      <c r="J679" s="44" t="n">
        <f aca="false">SUM(J677+J678)</f>
        <v>32</v>
      </c>
      <c r="K679" s="44" t="n">
        <f aca="false">SUM(K677+K678)</f>
        <v>23</v>
      </c>
      <c r="L679" s="44" t="n">
        <f aca="false">SUM(L677+L678)</f>
        <v>55</v>
      </c>
      <c r="M679" s="44" t="n">
        <f aca="false">SUM(M677+M678)</f>
        <v>32</v>
      </c>
      <c r="N679" s="44" t="n">
        <f aca="false">SUM(N677+N678)</f>
        <v>23</v>
      </c>
      <c r="O679" s="44" t="n">
        <f aca="false">SUM(O677+O678)</f>
        <v>55</v>
      </c>
      <c r="P679" s="52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67"/>
      <c r="B680" s="67"/>
      <c r="C680" s="6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2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78" t="s">
        <v>48</v>
      </c>
      <c r="B681" s="69"/>
      <c r="C681" s="69"/>
      <c r="D681" s="44" t="s">
        <v>23</v>
      </c>
      <c r="E681" s="44" t="s">
        <v>24</v>
      </c>
      <c r="F681" s="44" t="s">
        <v>25</v>
      </c>
      <c r="G681" s="44" t="s">
        <v>23</v>
      </c>
      <c r="H681" s="44" t="s">
        <v>24</v>
      </c>
      <c r="I681" s="44" t="s">
        <v>25</v>
      </c>
      <c r="J681" s="44" t="s">
        <v>23</v>
      </c>
      <c r="K681" s="44" t="s">
        <v>24</v>
      </c>
      <c r="L681" s="44" t="s">
        <v>25</v>
      </c>
      <c r="M681" s="44" t="s">
        <v>23</v>
      </c>
      <c r="N681" s="44" t="s">
        <v>24</v>
      </c>
      <c r="O681" s="45" t="s">
        <v>25</v>
      </c>
      <c r="P681" s="52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175" t="s">
        <v>252</v>
      </c>
      <c r="B682" s="71" t="s">
        <v>66</v>
      </c>
      <c r="C682" s="49" t="s">
        <v>28</v>
      </c>
      <c r="D682" s="50" t="n">
        <v>0</v>
      </c>
      <c r="E682" s="50" t="n">
        <v>0</v>
      </c>
      <c r="F682" s="50" t="n">
        <v>0</v>
      </c>
      <c r="G682" s="50" t="n">
        <v>0</v>
      </c>
      <c r="H682" s="50" t="n">
        <v>0</v>
      </c>
      <c r="I682" s="50" t="n">
        <v>0</v>
      </c>
      <c r="J682" s="216" t="n">
        <v>26</v>
      </c>
      <c r="K682" s="216" t="n">
        <v>38</v>
      </c>
      <c r="L682" s="216" t="n">
        <v>64</v>
      </c>
      <c r="M682" s="84" t="n">
        <v>26</v>
      </c>
      <c r="N682" s="84" t="n">
        <v>38</v>
      </c>
      <c r="O682" s="85" t="n">
        <v>64</v>
      </c>
      <c r="P682" s="52" t="n">
        <f aca="false">+(N682-M682)/O682</f>
        <v>0.1875</v>
      </c>
      <c r="Q682" s="7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149" t="s">
        <v>253</v>
      </c>
      <c r="B683" s="71" t="s">
        <v>66</v>
      </c>
      <c r="C683" s="49" t="s">
        <v>28</v>
      </c>
      <c r="D683" s="50" t="n">
        <v>0</v>
      </c>
      <c r="E683" s="50" t="n">
        <v>0</v>
      </c>
      <c r="F683" s="50" t="n">
        <v>0</v>
      </c>
      <c r="G683" s="50" t="n">
        <v>0</v>
      </c>
      <c r="H683" s="50" t="n">
        <v>0</v>
      </c>
      <c r="I683" s="50" t="n">
        <v>0</v>
      </c>
      <c r="J683" s="84" t="n">
        <v>33</v>
      </c>
      <c r="K683" s="84" t="n">
        <v>69</v>
      </c>
      <c r="L683" s="216" t="n">
        <v>102</v>
      </c>
      <c r="M683" s="84" t="n">
        <v>33</v>
      </c>
      <c r="N683" s="84" t="n">
        <v>69</v>
      </c>
      <c r="O683" s="85" t="n">
        <v>102</v>
      </c>
      <c r="P683" s="52" t="n">
        <f aca="false">+(N683-M683)/O683</f>
        <v>0.352941176470588</v>
      </c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149" t="s">
        <v>254</v>
      </c>
      <c r="B684" s="71" t="s">
        <v>63</v>
      </c>
      <c r="C684" s="49" t="s">
        <v>28</v>
      </c>
      <c r="D684" s="50" t="n">
        <v>0</v>
      </c>
      <c r="E684" s="50" t="n">
        <v>0</v>
      </c>
      <c r="F684" s="50" t="n">
        <v>0</v>
      </c>
      <c r="G684" s="50" t="n">
        <v>0</v>
      </c>
      <c r="H684" s="50" t="n">
        <v>0</v>
      </c>
      <c r="I684" s="50" t="n">
        <v>0</v>
      </c>
      <c r="J684" s="84" t="n">
        <v>15</v>
      </c>
      <c r="K684" s="84" t="n">
        <v>31</v>
      </c>
      <c r="L684" s="216" t="n">
        <v>46</v>
      </c>
      <c r="M684" s="84" t="n">
        <v>15</v>
      </c>
      <c r="N684" s="84" t="n">
        <v>31</v>
      </c>
      <c r="O684" s="85" t="n">
        <v>46</v>
      </c>
      <c r="P684" s="52" t="n">
        <f aca="false">+(N684-M684)/O684</f>
        <v>0.347826086956522</v>
      </c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109" t="s">
        <v>46</v>
      </c>
      <c r="B685" s="109"/>
      <c r="C685" s="109"/>
      <c r="D685" s="44" t="n">
        <f aca="false">SUM(D682:D684)</f>
        <v>0</v>
      </c>
      <c r="E685" s="44" t="n">
        <f aca="false">SUM(E682:E684)</f>
        <v>0</v>
      </c>
      <c r="F685" s="44" t="n">
        <f aca="false">SUM(F682:F684)</f>
        <v>0</v>
      </c>
      <c r="G685" s="44" t="n">
        <f aca="false">SUM(G682:G684)</f>
        <v>0</v>
      </c>
      <c r="H685" s="44" t="n">
        <f aca="false">SUM(H682:H684)</f>
        <v>0</v>
      </c>
      <c r="I685" s="44" t="n">
        <f aca="false">SUM(I682:I684)</f>
        <v>0</v>
      </c>
      <c r="J685" s="44" t="n">
        <f aca="false">SUM(J682:J684)</f>
        <v>74</v>
      </c>
      <c r="K685" s="44" t="n">
        <f aca="false">SUM(K682:K684)</f>
        <v>138</v>
      </c>
      <c r="L685" s="44" t="n">
        <f aca="false">SUM(L682:L684)</f>
        <v>212</v>
      </c>
      <c r="M685" s="44" t="n">
        <f aca="false">SUM(M682:M684)</f>
        <v>74</v>
      </c>
      <c r="N685" s="44" t="n">
        <f aca="false">SUM(N682:N684)</f>
        <v>138</v>
      </c>
      <c r="O685" s="45" t="n">
        <f aca="false">SUM(O682:O684)</f>
        <v>212</v>
      </c>
      <c r="P685" s="52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111" t="s">
        <v>77</v>
      </c>
      <c r="B686" s="111"/>
      <c r="C686" s="111"/>
      <c r="D686" s="44" t="n">
        <v>0</v>
      </c>
      <c r="E686" s="44" t="n">
        <v>0</v>
      </c>
      <c r="F686" s="44" t="n">
        <v>0</v>
      </c>
      <c r="G686" s="44" t="n">
        <v>0</v>
      </c>
      <c r="H686" s="44" t="n">
        <v>0</v>
      </c>
      <c r="I686" s="44" t="n">
        <v>0</v>
      </c>
      <c r="J686" s="44" t="n">
        <f aca="false">J679+J685</f>
        <v>106</v>
      </c>
      <c r="K686" s="44" t="n">
        <f aca="false">K679+K685</f>
        <v>161</v>
      </c>
      <c r="L686" s="44" t="n">
        <f aca="false">L679+L685</f>
        <v>267</v>
      </c>
      <c r="M686" s="44" t="n">
        <f aca="false">M679+M685</f>
        <v>106</v>
      </c>
      <c r="N686" s="44" t="n">
        <f aca="false">N679+N685</f>
        <v>161</v>
      </c>
      <c r="O686" s="44" t="n">
        <f aca="false">O679+O685</f>
        <v>267</v>
      </c>
      <c r="P686" s="52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112"/>
      <c r="B687" s="112"/>
      <c r="C687" s="11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2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112"/>
      <c r="B688" s="112"/>
      <c r="C688" s="11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2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112"/>
      <c r="B689" s="112"/>
      <c r="C689" s="11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2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112"/>
      <c r="B690" s="112"/>
      <c r="C690" s="11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2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20.25" hidden="false" customHeight="true" outlineLevel="0" collapsed="false">
      <c r="A691" s="34" t="s">
        <v>78</v>
      </c>
      <c r="B691" s="34"/>
      <c r="C691" s="34"/>
      <c r="D691" s="34"/>
      <c r="E691" s="34"/>
      <c r="F691" s="34"/>
      <c r="G691" s="35" t="s">
        <v>13</v>
      </c>
      <c r="H691" s="35"/>
      <c r="I691" s="35"/>
      <c r="J691" s="35"/>
      <c r="K691" s="35"/>
      <c r="L691" s="35"/>
      <c r="M691" s="35"/>
      <c r="N691" s="35"/>
      <c r="O691" s="35"/>
      <c r="P691" s="52"/>
    </row>
    <row r="692" customFormat="false" ht="24" hidden="false" customHeight="true" outlineLevel="0" collapsed="false">
      <c r="A692" s="35" t="s">
        <v>108</v>
      </c>
      <c r="B692" s="38" t="s">
        <v>16</v>
      </c>
      <c r="C692" s="38" t="s">
        <v>17</v>
      </c>
      <c r="D692" s="38" t="s">
        <v>18</v>
      </c>
      <c r="E692" s="38"/>
      <c r="F692" s="38"/>
      <c r="G692" s="38" t="s">
        <v>19</v>
      </c>
      <c r="H692" s="38"/>
      <c r="I692" s="38"/>
      <c r="J692" s="38" t="s">
        <v>20</v>
      </c>
      <c r="K692" s="38"/>
      <c r="L692" s="38"/>
      <c r="M692" s="38" t="s">
        <v>21</v>
      </c>
      <c r="N692" s="38"/>
      <c r="O692" s="38"/>
      <c r="P692" s="52"/>
      <c r="R692" s="40"/>
      <c r="S692" s="40"/>
      <c r="T692" s="40"/>
      <c r="U692" s="40"/>
      <c r="V692" s="40"/>
      <c r="W692" s="40"/>
      <c r="X692" s="40"/>
      <c r="Y692" s="40"/>
      <c r="Z692" s="40"/>
    </row>
    <row r="693" customFormat="false" ht="15" hidden="false" customHeight="true" outlineLevel="0" collapsed="false">
      <c r="A693" s="35" t="s">
        <v>109</v>
      </c>
      <c r="B693" s="89"/>
      <c r="C693" s="89"/>
      <c r="D693" s="44" t="s">
        <v>23</v>
      </c>
      <c r="E693" s="44" t="s">
        <v>24</v>
      </c>
      <c r="F693" s="44" t="s">
        <v>25</v>
      </c>
      <c r="G693" s="44" t="s">
        <v>23</v>
      </c>
      <c r="H693" s="44" t="s">
        <v>24</v>
      </c>
      <c r="I693" s="44" t="s">
        <v>25</v>
      </c>
      <c r="J693" s="44" t="s">
        <v>23</v>
      </c>
      <c r="K693" s="44" t="s">
        <v>24</v>
      </c>
      <c r="L693" s="44" t="s">
        <v>25</v>
      </c>
      <c r="M693" s="44" t="s">
        <v>23</v>
      </c>
      <c r="N693" s="44" t="s">
        <v>24</v>
      </c>
      <c r="O693" s="45" t="s">
        <v>25</v>
      </c>
      <c r="P693" s="90"/>
      <c r="R693" s="91"/>
      <c r="S693" s="91"/>
      <c r="T693" s="91"/>
      <c r="U693" s="91"/>
      <c r="V693" s="91"/>
      <c r="W693" s="91"/>
      <c r="X693" s="91"/>
      <c r="Y693" s="91"/>
      <c r="Z693" s="91"/>
    </row>
    <row r="694" customFormat="false" ht="15.75" hidden="false" customHeight="true" outlineLevel="0" collapsed="false">
      <c r="A694" s="53" t="s">
        <v>250</v>
      </c>
      <c r="B694" s="63" t="s">
        <v>90</v>
      </c>
      <c r="C694" s="49" t="s">
        <v>80</v>
      </c>
      <c r="D694" s="50" t="n">
        <v>0</v>
      </c>
      <c r="E694" s="50" t="n">
        <v>0</v>
      </c>
      <c r="F694" s="50" t="n">
        <v>0</v>
      </c>
      <c r="G694" s="50" t="n">
        <v>0</v>
      </c>
      <c r="H694" s="50" t="n">
        <v>0</v>
      </c>
      <c r="I694" s="50" t="n">
        <v>0</v>
      </c>
      <c r="J694" s="50" t="n">
        <v>9</v>
      </c>
      <c r="K694" s="50" t="n">
        <v>16</v>
      </c>
      <c r="L694" s="135" t="n">
        <v>25</v>
      </c>
      <c r="M694" s="105" t="n">
        <v>9</v>
      </c>
      <c r="N694" s="50" t="n">
        <v>16</v>
      </c>
      <c r="O694" s="51" t="n">
        <v>25</v>
      </c>
      <c r="P694" s="52" t="n">
        <f aca="false">+(N694-M694)/O694</f>
        <v>0.28</v>
      </c>
      <c r="R694" s="91"/>
      <c r="S694" s="91"/>
      <c r="T694" s="91"/>
      <c r="U694" s="91"/>
      <c r="V694" s="91"/>
      <c r="W694" s="91"/>
      <c r="X694" s="91"/>
      <c r="Y694" s="91"/>
      <c r="Z694" s="91"/>
    </row>
    <row r="695" customFormat="false" ht="15.75" hidden="false" customHeight="true" outlineLevel="0" collapsed="false">
      <c r="A695" s="53" t="s">
        <v>251</v>
      </c>
      <c r="B695" s="63" t="s">
        <v>255</v>
      </c>
      <c r="C695" s="49" t="s">
        <v>80</v>
      </c>
      <c r="D695" s="50" t="n">
        <v>0</v>
      </c>
      <c r="E695" s="50" t="n">
        <v>0</v>
      </c>
      <c r="F695" s="50" t="n">
        <v>0</v>
      </c>
      <c r="G695" s="50" t="n">
        <v>0</v>
      </c>
      <c r="H695" s="50" t="n">
        <v>0</v>
      </c>
      <c r="I695" s="50" t="n">
        <v>0</v>
      </c>
      <c r="J695" s="50" t="n">
        <v>10</v>
      </c>
      <c r="K695" s="50" t="n">
        <v>11</v>
      </c>
      <c r="L695" s="193" t="n">
        <v>21</v>
      </c>
      <c r="M695" s="105" t="n">
        <v>10</v>
      </c>
      <c r="N695" s="50" t="n">
        <v>11</v>
      </c>
      <c r="O695" s="51" t="n">
        <v>21</v>
      </c>
      <c r="P695" s="52" t="n">
        <f aca="false">+(N695-M695)/O695</f>
        <v>0.0476190476190476</v>
      </c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109" t="s">
        <v>46</v>
      </c>
      <c r="B696" s="109"/>
      <c r="C696" s="109"/>
      <c r="D696" s="44" t="n">
        <f aca="false">SUM(D694:D695)</f>
        <v>0</v>
      </c>
      <c r="E696" s="44" t="n">
        <f aca="false">SUM(E694:E695)</f>
        <v>0</v>
      </c>
      <c r="F696" s="44" t="n">
        <f aca="false">SUM(F694:F695)</f>
        <v>0</v>
      </c>
      <c r="G696" s="44" t="n">
        <f aca="false">SUM(G694:G695)</f>
        <v>0</v>
      </c>
      <c r="H696" s="44" t="n">
        <f aca="false">SUM(H694:H695)</f>
        <v>0</v>
      </c>
      <c r="I696" s="44" t="n">
        <f aca="false">SUM(I694:I695)</f>
        <v>0</v>
      </c>
      <c r="J696" s="44" t="n">
        <f aca="false">SUM(J694:J695)</f>
        <v>19</v>
      </c>
      <c r="K696" s="44" t="n">
        <f aca="false">SUM(K694:K695)</f>
        <v>27</v>
      </c>
      <c r="L696" s="44" t="n">
        <f aca="false">SUM(L694:L695)</f>
        <v>46</v>
      </c>
      <c r="M696" s="44" t="n">
        <f aca="false">SUM(M694:M695)</f>
        <v>19</v>
      </c>
      <c r="N696" s="44" t="n">
        <f aca="false">SUM(N694:N695)</f>
        <v>27</v>
      </c>
      <c r="O696" s="217" t="n">
        <f aca="false">SUM(O694:O695)</f>
        <v>46</v>
      </c>
      <c r="P696" s="52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111" t="s">
        <v>77</v>
      </c>
      <c r="B697" s="111"/>
      <c r="C697" s="111"/>
      <c r="D697" s="44" t="n">
        <f aca="false">SUM(D696)</f>
        <v>0</v>
      </c>
      <c r="E697" s="44" t="n">
        <v>0</v>
      </c>
      <c r="F697" s="44" t="n">
        <v>0</v>
      </c>
      <c r="G697" s="44" t="n">
        <v>0</v>
      </c>
      <c r="H697" s="44" t="n">
        <v>0</v>
      </c>
      <c r="I697" s="44" t="n">
        <v>0</v>
      </c>
      <c r="J697" s="44" t="n">
        <f aca="false">SUM(J696)</f>
        <v>19</v>
      </c>
      <c r="K697" s="44" t="n">
        <f aca="false">SUM(K696)</f>
        <v>27</v>
      </c>
      <c r="L697" s="44" t="n">
        <f aca="false">SUM(J697:K697)</f>
        <v>46</v>
      </c>
      <c r="M697" s="114" t="n">
        <f aca="false">SUM(M696)</f>
        <v>19</v>
      </c>
      <c r="N697" s="44" t="n">
        <f aca="false">SUM(N696)</f>
        <v>27</v>
      </c>
      <c r="O697" s="45" t="n">
        <f aca="false">SUM(M697:N697)</f>
        <v>46</v>
      </c>
      <c r="P697" s="52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25.5" hidden="false" customHeight="true" outlineLevel="0" collapsed="false">
      <c r="A698" s="112"/>
      <c r="B698" s="112"/>
      <c r="C698" s="11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2"/>
      <c r="Q698" s="7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34" t="s">
        <v>107</v>
      </c>
      <c r="B699" s="34"/>
      <c r="C699" s="34"/>
      <c r="D699" s="34"/>
      <c r="E699" s="34"/>
      <c r="F699" s="34"/>
      <c r="G699" s="35" t="s">
        <v>13</v>
      </c>
      <c r="H699" s="35"/>
      <c r="I699" s="35"/>
      <c r="J699" s="35"/>
      <c r="K699" s="35"/>
      <c r="L699" s="35"/>
      <c r="M699" s="35"/>
      <c r="N699" s="35"/>
      <c r="O699" s="35"/>
      <c r="P699" s="52"/>
      <c r="Q699" s="7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24" hidden="false" customHeight="true" outlineLevel="0" collapsed="false">
      <c r="A700" s="35" t="s">
        <v>108</v>
      </c>
      <c r="B700" s="38" t="s">
        <v>16</v>
      </c>
      <c r="C700" s="38" t="s">
        <v>17</v>
      </c>
      <c r="D700" s="38" t="s">
        <v>18</v>
      </c>
      <c r="E700" s="38"/>
      <c r="F700" s="38"/>
      <c r="G700" s="38" t="s">
        <v>19</v>
      </c>
      <c r="H700" s="38"/>
      <c r="I700" s="38"/>
      <c r="J700" s="38" t="s">
        <v>20</v>
      </c>
      <c r="K700" s="38"/>
      <c r="L700" s="38"/>
      <c r="M700" s="38" t="s">
        <v>21</v>
      </c>
      <c r="N700" s="38"/>
      <c r="O700" s="38"/>
      <c r="P700" s="52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24" hidden="false" customHeight="true" outlineLevel="0" collapsed="false">
      <c r="A701" s="35" t="s">
        <v>109</v>
      </c>
      <c r="B701" s="89"/>
      <c r="C701" s="89"/>
      <c r="D701" s="44" t="s">
        <v>23</v>
      </c>
      <c r="E701" s="44" t="s">
        <v>24</v>
      </c>
      <c r="F701" s="44" t="s">
        <v>25</v>
      </c>
      <c r="G701" s="44" t="s">
        <v>23</v>
      </c>
      <c r="H701" s="44" t="s">
        <v>24</v>
      </c>
      <c r="I701" s="44" t="s">
        <v>25</v>
      </c>
      <c r="J701" s="44" t="s">
        <v>23</v>
      </c>
      <c r="K701" s="44" t="s">
        <v>24</v>
      </c>
      <c r="L701" s="44" t="s">
        <v>25</v>
      </c>
      <c r="M701" s="44" t="s">
        <v>23</v>
      </c>
      <c r="N701" s="44" t="s">
        <v>24</v>
      </c>
      <c r="O701" s="45" t="s">
        <v>25</v>
      </c>
      <c r="P701" s="52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24" hidden="false" customHeight="true" outlineLevel="0" collapsed="false">
      <c r="A702" s="146" t="s">
        <v>250</v>
      </c>
      <c r="B702" s="132" t="s">
        <v>119</v>
      </c>
      <c r="C702" s="86" t="s">
        <v>111</v>
      </c>
      <c r="D702" s="73" t="n">
        <v>0</v>
      </c>
      <c r="E702" s="73" t="n">
        <v>0</v>
      </c>
      <c r="F702" s="73" t="n">
        <v>0</v>
      </c>
      <c r="G702" s="73" t="n">
        <v>0</v>
      </c>
      <c r="H702" s="73" t="n">
        <v>0</v>
      </c>
      <c r="I702" s="73" t="n">
        <v>0</v>
      </c>
      <c r="J702" s="73" t="n">
        <v>13</v>
      </c>
      <c r="K702" s="73" t="n">
        <v>22</v>
      </c>
      <c r="L702" s="160" t="n">
        <v>35</v>
      </c>
      <c r="M702" s="140" t="n">
        <v>13</v>
      </c>
      <c r="N702" s="73" t="n">
        <v>22</v>
      </c>
      <c r="O702" s="74" t="n">
        <v>35</v>
      </c>
      <c r="P702" s="52" t="n">
        <f aca="false">+(N702-M702)/O702</f>
        <v>0.257142857142857</v>
      </c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24" hidden="false" customHeight="true" outlineLevel="0" collapsed="false">
      <c r="A703" s="109" t="s">
        <v>46</v>
      </c>
      <c r="B703" s="109"/>
      <c r="C703" s="109"/>
      <c r="D703" s="44" t="n">
        <f aca="false">SUM(D702)</f>
        <v>0</v>
      </c>
      <c r="E703" s="44" t="n">
        <f aca="false">SUM(E702)</f>
        <v>0</v>
      </c>
      <c r="F703" s="44" t="n">
        <f aca="false">SUM(F702)</f>
        <v>0</v>
      </c>
      <c r="G703" s="44" t="n">
        <f aca="false">SUM(G702)</f>
        <v>0</v>
      </c>
      <c r="H703" s="44" t="n">
        <f aca="false">SUM(H702)</f>
        <v>0</v>
      </c>
      <c r="I703" s="44" t="n">
        <f aca="false">SUM(I702)</f>
        <v>0</v>
      </c>
      <c r="J703" s="44" t="n">
        <f aca="false">SUM(J702)</f>
        <v>13</v>
      </c>
      <c r="K703" s="44" t="n">
        <f aca="false">SUM(K702)</f>
        <v>22</v>
      </c>
      <c r="L703" s="44" t="n">
        <f aca="false">SUM(L702)</f>
        <v>35</v>
      </c>
      <c r="M703" s="44" t="n">
        <f aca="false">SUM(M702)</f>
        <v>13</v>
      </c>
      <c r="N703" s="44" t="n">
        <f aca="false">SUM(N702)</f>
        <v>22</v>
      </c>
      <c r="O703" s="45" t="n">
        <f aca="false">SUM(O702)</f>
        <v>35</v>
      </c>
      <c r="P703" s="52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24" hidden="false" customHeight="true" outlineLevel="0" collapsed="false">
      <c r="A704" s="218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219"/>
      <c r="P704" s="52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26.25" hidden="false" customHeight="true" outlineLevel="0" collapsed="false">
      <c r="A705" s="34" t="s">
        <v>107</v>
      </c>
      <c r="B705" s="34"/>
      <c r="C705" s="34"/>
      <c r="D705" s="34"/>
      <c r="E705" s="34"/>
      <c r="F705" s="34"/>
      <c r="G705" s="35" t="s">
        <v>13</v>
      </c>
      <c r="H705" s="35"/>
      <c r="I705" s="35"/>
      <c r="J705" s="35"/>
      <c r="K705" s="35"/>
      <c r="L705" s="35"/>
      <c r="M705" s="35"/>
      <c r="N705" s="35"/>
      <c r="O705" s="35"/>
      <c r="P705" s="52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24" hidden="false" customHeight="true" outlineLevel="0" collapsed="false">
      <c r="A706" s="35" t="s">
        <v>108</v>
      </c>
      <c r="B706" s="38" t="s">
        <v>16</v>
      </c>
      <c r="C706" s="38" t="s">
        <v>17</v>
      </c>
      <c r="D706" s="38" t="s">
        <v>18</v>
      </c>
      <c r="E706" s="38"/>
      <c r="F706" s="38"/>
      <c r="G706" s="38" t="s">
        <v>19</v>
      </c>
      <c r="H706" s="38"/>
      <c r="I706" s="38"/>
      <c r="J706" s="38" t="s">
        <v>20</v>
      </c>
      <c r="K706" s="38"/>
      <c r="L706" s="38"/>
      <c r="M706" s="38" t="s">
        <v>21</v>
      </c>
      <c r="N706" s="38"/>
      <c r="O706" s="38"/>
      <c r="P706" s="52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24" hidden="false" customHeight="true" outlineLevel="0" collapsed="false">
      <c r="A707" s="35" t="s">
        <v>48</v>
      </c>
      <c r="B707" s="89"/>
      <c r="C707" s="89"/>
      <c r="D707" s="44" t="s">
        <v>23</v>
      </c>
      <c r="E707" s="44" t="s">
        <v>24</v>
      </c>
      <c r="F707" s="44" t="s">
        <v>25</v>
      </c>
      <c r="G707" s="44" t="s">
        <v>23</v>
      </c>
      <c r="H707" s="44" t="s">
        <v>24</v>
      </c>
      <c r="I707" s="44" t="s">
        <v>25</v>
      </c>
      <c r="J707" s="44" t="s">
        <v>23</v>
      </c>
      <c r="K707" s="44" t="s">
        <v>24</v>
      </c>
      <c r="L707" s="44" t="s">
        <v>25</v>
      </c>
      <c r="M707" s="44" t="s">
        <v>23</v>
      </c>
      <c r="N707" s="44" t="s">
        <v>24</v>
      </c>
      <c r="O707" s="45" t="s">
        <v>25</v>
      </c>
      <c r="P707" s="52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24" hidden="false" customHeight="true" outlineLevel="0" collapsed="false">
      <c r="A708" s="220" t="s">
        <v>256</v>
      </c>
      <c r="B708" s="63" t="s">
        <v>134</v>
      </c>
      <c r="C708" s="50" t="s">
        <v>111</v>
      </c>
      <c r="D708" s="50" t="n">
        <v>0</v>
      </c>
      <c r="E708" s="50" t="n">
        <v>0</v>
      </c>
      <c r="F708" s="50" t="n">
        <v>0</v>
      </c>
      <c r="G708" s="50" t="n">
        <v>0</v>
      </c>
      <c r="H708" s="50" t="n">
        <v>0</v>
      </c>
      <c r="I708" s="50" t="n">
        <v>0</v>
      </c>
      <c r="J708" s="50" t="n">
        <v>4</v>
      </c>
      <c r="K708" s="50" t="n">
        <v>6</v>
      </c>
      <c r="L708" s="93" t="n">
        <v>10</v>
      </c>
      <c r="M708" s="50" t="n">
        <v>4</v>
      </c>
      <c r="N708" s="50" t="n">
        <v>6</v>
      </c>
      <c r="O708" s="51" t="n">
        <v>10</v>
      </c>
      <c r="P708" s="52" t="n">
        <f aca="false">+(N708-M708)/O708</f>
        <v>0.2</v>
      </c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24" hidden="false" customHeight="true" outlineLevel="0" collapsed="false">
      <c r="A709" s="109" t="s">
        <v>46</v>
      </c>
      <c r="B709" s="109"/>
      <c r="C709" s="109"/>
      <c r="D709" s="44" t="n">
        <f aca="false">SUM(D708)</f>
        <v>0</v>
      </c>
      <c r="E709" s="44" t="n">
        <f aca="false">SUM(E708)</f>
        <v>0</v>
      </c>
      <c r="F709" s="44" t="n">
        <f aca="false">SUM(F708)</f>
        <v>0</v>
      </c>
      <c r="G709" s="44" t="n">
        <f aca="false">SUM(G708)</f>
        <v>0</v>
      </c>
      <c r="H709" s="44" t="n">
        <f aca="false">SUM(H708)</f>
        <v>0</v>
      </c>
      <c r="I709" s="44" t="n">
        <f aca="false">SUM(I708)</f>
        <v>0</v>
      </c>
      <c r="J709" s="44" t="n">
        <f aca="false">SUM(J708)</f>
        <v>4</v>
      </c>
      <c r="K709" s="44" t="n">
        <f aca="false">SUM(K708)</f>
        <v>6</v>
      </c>
      <c r="L709" s="44" t="n">
        <f aca="false">SUM(L708)</f>
        <v>10</v>
      </c>
      <c r="M709" s="44" t="n">
        <f aca="false">SUM(M708)</f>
        <v>4</v>
      </c>
      <c r="N709" s="44" t="n">
        <f aca="false">SUM(N708)</f>
        <v>6</v>
      </c>
      <c r="O709" s="44" t="n">
        <f aca="false">SUM(O708)</f>
        <v>10</v>
      </c>
      <c r="P709" s="52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24" hidden="false" customHeight="true" outlineLevel="0" collapsed="false">
      <c r="A710" s="218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219"/>
      <c r="P710" s="52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24" hidden="false" customHeight="true" outlineLevel="0" collapsed="false">
      <c r="A711" s="218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219"/>
      <c r="P711" s="52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78" t="s">
        <v>72</v>
      </c>
      <c r="B712" s="69"/>
      <c r="C712" s="69"/>
      <c r="D712" s="44" t="s">
        <v>23</v>
      </c>
      <c r="E712" s="44" t="s">
        <v>24</v>
      </c>
      <c r="F712" s="44" t="s">
        <v>25</v>
      </c>
      <c r="G712" s="44" t="s">
        <v>23</v>
      </c>
      <c r="H712" s="44" t="s">
        <v>24</v>
      </c>
      <c r="I712" s="44" t="s">
        <v>25</v>
      </c>
      <c r="J712" s="44" t="s">
        <v>23</v>
      </c>
      <c r="K712" s="44" t="s">
        <v>24</v>
      </c>
      <c r="L712" s="44" t="s">
        <v>25</v>
      </c>
      <c r="M712" s="44" t="s">
        <v>23</v>
      </c>
      <c r="N712" s="44" t="s">
        <v>24</v>
      </c>
      <c r="O712" s="45" t="s">
        <v>25</v>
      </c>
      <c r="P712" s="52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221" t="s">
        <v>257</v>
      </c>
      <c r="B713" s="150" t="s">
        <v>258</v>
      </c>
      <c r="C713" s="50" t="s">
        <v>111</v>
      </c>
      <c r="D713" s="50" t="n">
        <v>0</v>
      </c>
      <c r="E713" s="50" t="n">
        <v>0</v>
      </c>
      <c r="F713" s="50" t="n">
        <v>0</v>
      </c>
      <c r="G713" s="73" t="n">
        <v>0</v>
      </c>
      <c r="H713" s="73" t="n">
        <v>0</v>
      </c>
      <c r="I713" s="73" t="n">
        <v>0</v>
      </c>
      <c r="J713" s="73" t="n">
        <v>8</v>
      </c>
      <c r="K713" s="73" t="n">
        <v>18</v>
      </c>
      <c r="L713" s="73" t="n">
        <v>26</v>
      </c>
      <c r="M713" s="73" t="n">
        <v>8</v>
      </c>
      <c r="N713" s="73" t="n">
        <v>18</v>
      </c>
      <c r="O713" s="74" t="n">
        <v>26</v>
      </c>
      <c r="P713" s="52" t="n">
        <f aca="false">+(N713-M713)/O713</f>
        <v>0.384615384615385</v>
      </c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155" t="s">
        <v>259</v>
      </c>
      <c r="B714" s="152" t="s">
        <v>260</v>
      </c>
      <c r="C714" s="58" t="s">
        <v>111</v>
      </c>
      <c r="D714" s="58" t="n">
        <v>0</v>
      </c>
      <c r="E714" s="58" t="n">
        <v>0</v>
      </c>
      <c r="F714" s="58" t="n">
        <v>0</v>
      </c>
      <c r="G714" s="58" t="n">
        <v>0</v>
      </c>
      <c r="H714" s="58" t="n">
        <v>0</v>
      </c>
      <c r="I714" s="58" t="n">
        <v>0</v>
      </c>
      <c r="J714" s="58" t="n">
        <v>6</v>
      </c>
      <c r="K714" s="58" t="n">
        <v>4</v>
      </c>
      <c r="L714" s="58" t="n">
        <v>10</v>
      </c>
      <c r="M714" s="58" t="n">
        <v>6</v>
      </c>
      <c r="N714" s="58" t="n">
        <v>4</v>
      </c>
      <c r="O714" s="59" t="n">
        <v>10</v>
      </c>
      <c r="P714" s="60" t="n">
        <f aca="false">+(N714-M714)/O714</f>
        <v>-0.2</v>
      </c>
      <c r="Q714" s="61" t="n">
        <v>1</v>
      </c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222" t="s">
        <v>261</v>
      </c>
      <c r="B715" s="147" t="s">
        <v>158</v>
      </c>
      <c r="C715" s="50" t="s">
        <v>111</v>
      </c>
      <c r="D715" s="50" t="n">
        <v>0</v>
      </c>
      <c r="E715" s="50" t="n">
        <v>0</v>
      </c>
      <c r="F715" s="50" t="n">
        <v>0</v>
      </c>
      <c r="G715" s="50" t="n">
        <v>0</v>
      </c>
      <c r="H715" s="50" t="n">
        <v>0</v>
      </c>
      <c r="I715" s="50" t="n">
        <v>0</v>
      </c>
      <c r="J715" s="50" t="n">
        <v>5</v>
      </c>
      <c r="K715" s="50" t="n">
        <v>21</v>
      </c>
      <c r="L715" s="50" t="n">
        <v>26</v>
      </c>
      <c r="M715" s="50" t="n">
        <v>5</v>
      </c>
      <c r="N715" s="50" t="n">
        <v>21</v>
      </c>
      <c r="O715" s="51" t="n">
        <v>26</v>
      </c>
      <c r="P715" s="52" t="n">
        <f aca="false">+(N715-M715)/O715</f>
        <v>0.615384615384615</v>
      </c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155" t="s">
        <v>262</v>
      </c>
      <c r="B716" s="82" t="s">
        <v>148</v>
      </c>
      <c r="C716" s="58" t="s">
        <v>111</v>
      </c>
      <c r="D716" s="58" t="n">
        <v>0</v>
      </c>
      <c r="E716" s="58" t="n">
        <v>0</v>
      </c>
      <c r="F716" s="58" t="n">
        <v>0</v>
      </c>
      <c r="G716" s="58" t="n">
        <v>0</v>
      </c>
      <c r="H716" s="58" t="n">
        <v>0</v>
      </c>
      <c r="I716" s="58" t="n">
        <v>0</v>
      </c>
      <c r="J716" s="58" t="n">
        <v>9</v>
      </c>
      <c r="K716" s="58" t="n">
        <v>6</v>
      </c>
      <c r="L716" s="58" t="n">
        <v>15</v>
      </c>
      <c r="M716" s="58" t="n">
        <v>9</v>
      </c>
      <c r="N716" s="58" t="n">
        <v>6</v>
      </c>
      <c r="O716" s="59" t="n">
        <v>15</v>
      </c>
      <c r="P716" s="60" t="n">
        <f aca="false">+(N716-M716)/O716</f>
        <v>-0.2</v>
      </c>
      <c r="Q716" s="61" t="n">
        <v>1</v>
      </c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155" t="s">
        <v>263</v>
      </c>
      <c r="B717" s="152" t="s">
        <v>154</v>
      </c>
      <c r="C717" s="58" t="s">
        <v>111</v>
      </c>
      <c r="D717" s="58" t="n">
        <v>0</v>
      </c>
      <c r="E717" s="58" t="n">
        <v>0</v>
      </c>
      <c r="F717" s="58" t="n">
        <v>0</v>
      </c>
      <c r="G717" s="58" t="n">
        <v>0</v>
      </c>
      <c r="H717" s="58" t="n">
        <v>0</v>
      </c>
      <c r="I717" s="58" t="n">
        <v>0</v>
      </c>
      <c r="J717" s="58" t="n">
        <v>6</v>
      </c>
      <c r="K717" s="58" t="n">
        <v>5</v>
      </c>
      <c r="L717" s="58" t="n">
        <v>11</v>
      </c>
      <c r="M717" s="58" t="n">
        <v>6</v>
      </c>
      <c r="N717" s="58" t="n">
        <v>5</v>
      </c>
      <c r="O717" s="59" t="n">
        <v>11</v>
      </c>
      <c r="P717" s="52" t="n">
        <f aca="false">+(N717-M717)/O717</f>
        <v>-0.0909090909090909</v>
      </c>
      <c r="Q717" s="2" t="n">
        <v>0</v>
      </c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109" t="s">
        <v>46</v>
      </c>
      <c r="B718" s="109"/>
      <c r="C718" s="109"/>
      <c r="D718" s="44" t="n">
        <f aca="false">SUM(D713:D717)</f>
        <v>0</v>
      </c>
      <c r="E718" s="44" t="n">
        <f aca="false">SUM(E713:E717)</f>
        <v>0</v>
      </c>
      <c r="F718" s="44" t="n">
        <f aca="false">SUM(F713:F717)</f>
        <v>0</v>
      </c>
      <c r="G718" s="44" t="n">
        <f aca="false">SUM(G713:G717)</f>
        <v>0</v>
      </c>
      <c r="H718" s="44" t="n">
        <f aca="false">SUM(H713:H717)</f>
        <v>0</v>
      </c>
      <c r="I718" s="44" t="n">
        <f aca="false">SUM(I713:I717)</f>
        <v>0</v>
      </c>
      <c r="J718" s="44" t="n">
        <f aca="false">SUM(J713:J717)</f>
        <v>34</v>
      </c>
      <c r="K718" s="44" t="n">
        <f aca="false">SUM(K713:K717)</f>
        <v>54</v>
      </c>
      <c r="L718" s="44" t="n">
        <f aca="false">SUM(L713:L717)</f>
        <v>88</v>
      </c>
      <c r="M718" s="44" t="n">
        <f aca="false">SUM(M713:M717)</f>
        <v>34</v>
      </c>
      <c r="N718" s="44" t="n">
        <f aca="false">SUM(N713:N717)</f>
        <v>54</v>
      </c>
      <c r="O718" s="45" t="n">
        <f aca="false">SUM(O713:O717)</f>
        <v>88</v>
      </c>
      <c r="P718" s="52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25.5" hidden="false" customHeight="true" outlineLevel="0" collapsed="false">
      <c r="A719" s="112"/>
      <c r="B719" s="112"/>
      <c r="C719" s="11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2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78" t="s">
        <v>76</v>
      </c>
      <c r="B720" s="69"/>
      <c r="C720" s="69"/>
      <c r="D720" s="44" t="s">
        <v>23</v>
      </c>
      <c r="E720" s="44" t="s">
        <v>24</v>
      </c>
      <c r="F720" s="44" t="s">
        <v>25</v>
      </c>
      <c r="G720" s="44" t="s">
        <v>23</v>
      </c>
      <c r="H720" s="44" t="s">
        <v>24</v>
      </c>
      <c r="I720" s="44" t="s">
        <v>25</v>
      </c>
      <c r="J720" s="44" t="s">
        <v>23</v>
      </c>
      <c r="K720" s="44" t="s">
        <v>24</v>
      </c>
      <c r="L720" s="44" t="s">
        <v>25</v>
      </c>
      <c r="M720" s="44" t="s">
        <v>23</v>
      </c>
      <c r="N720" s="44" t="s">
        <v>24</v>
      </c>
      <c r="O720" s="45" t="s">
        <v>25</v>
      </c>
      <c r="P720" s="52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106" t="s">
        <v>264</v>
      </c>
      <c r="B721" s="130" t="s">
        <v>265</v>
      </c>
      <c r="C721" s="58" t="s">
        <v>111</v>
      </c>
      <c r="D721" s="165" t="n">
        <v>0</v>
      </c>
      <c r="E721" s="165" t="n">
        <v>0</v>
      </c>
      <c r="F721" s="165" t="n">
        <v>0</v>
      </c>
      <c r="G721" s="165" t="n">
        <v>0</v>
      </c>
      <c r="H721" s="165" t="n">
        <v>0</v>
      </c>
      <c r="I721" s="165" t="n">
        <v>0</v>
      </c>
      <c r="J721" s="165" t="n">
        <v>6</v>
      </c>
      <c r="K721" s="165" t="n">
        <v>3</v>
      </c>
      <c r="L721" s="165" t="n">
        <v>9</v>
      </c>
      <c r="M721" s="58" t="n">
        <v>6</v>
      </c>
      <c r="N721" s="58" t="n">
        <v>3</v>
      </c>
      <c r="O721" s="59" t="n">
        <v>9</v>
      </c>
      <c r="P721" s="52" t="n">
        <f aca="false">+(N721-M721)/O721</f>
        <v>-0.333333333333333</v>
      </c>
      <c r="Q721" s="2" t="n">
        <v>0</v>
      </c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104" t="s">
        <v>266</v>
      </c>
      <c r="B722" s="63" t="s">
        <v>267</v>
      </c>
      <c r="C722" s="50" t="s">
        <v>111</v>
      </c>
      <c r="D722" s="122" t="n">
        <v>0</v>
      </c>
      <c r="E722" s="122" t="n">
        <v>0</v>
      </c>
      <c r="F722" s="122" t="n">
        <v>0</v>
      </c>
      <c r="G722" s="122" t="n">
        <v>0</v>
      </c>
      <c r="H722" s="122" t="n">
        <v>0</v>
      </c>
      <c r="I722" s="122" t="n">
        <v>0</v>
      </c>
      <c r="J722" s="122" t="n">
        <v>1</v>
      </c>
      <c r="K722" s="122" t="n">
        <v>5</v>
      </c>
      <c r="L722" s="122" t="n">
        <v>6</v>
      </c>
      <c r="M722" s="122" t="n">
        <v>1</v>
      </c>
      <c r="N722" s="122" t="n">
        <v>5</v>
      </c>
      <c r="O722" s="223" t="n">
        <v>6</v>
      </c>
      <c r="P722" s="52" t="n">
        <f aca="false">+(N722-M722)/O722</f>
        <v>0.666666666666667</v>
      </c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224" t="s">
        <v>46</v>
      </c>
      <c r="B723" s="224"/>
      <c r="C723" s="224"/>
      <c r="D723" s="133" t="n">
        <f aca="false">SUM(D721:D722)</f>
        <v>0</v>
      </c>
      <c r="E723" s="133" t="n">
        <f aca="false">SUM(E721:E722)</f>
        <v>0</v>
      </c>
      <c r="F723" s="133" t="n">
        <f aca="false">SUM(F721:F722)</f>
        <v>0</v>
      </c>
      <c r="G723" s="133" t="n">
        <f aca="false">SUM(G721:G722)</f>
        <v>0</v>
      </c>
      <c r="H723" s="133" t="n">
        <f aca="false">SUM(H721:H722)</f>
        <v>0</v>
      </c>
      <c r="I723" s="133" t="n">
        <f aca="false">SUM(I721:I722)</f>
        <v>0</v>
      </c>
      <c r="J723" s="133" t="n">
        <f aca="false">SUM(J721:J722)</f>
        <v>7</v>
      </c>
      <c r="K723" s="133" t="n">
        <f aca="false">SUM(K721:K722)</f>
        <v>8</v>
      </c>
      <c r="L723" s="133" t="n">
        <f aca="false">SUM(L721:L722)</f>
        <v>15</v>
      </c>
      <c r="M723" s="133" t="n">
        <f aca="false">SUM(M721:M722)</f>
        <v>7</v>
      </c>
      <c r="N723" s="133" t="n">
        <f aca="false">SUM(N721:N722)</f>
        <v>8</v>
      </c>
      <c r="O723" s="225" t="n">
        <f aca="false">SUM(O721:O722)</f>
        <v>15</v>
      </c>
      <c r="P723" s="52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30" hidden="false" customHeight="true" outlineLevel="0" collapsed="false">
      <c r="A724" s="111" t="s">
        <v>77</v>
      </c>
      <c r="B724" s="111"/>
      <c r="C724" s="111"/>
      <c r="D724" s="44" t="n">
        <f aca="false">SUM(D718+D723+D703+D709)</f>
        <v>0</v>
      </c>
      <c r="E724" s="44" t="n">
        <f aca="false">SUM(E718+E723+E703+E709)</f>
        <v>0</v>
      </c>
      <c r="F724" s="44" t="n">
        <f aca="false">SUM(F718+F723+F703+F709)</f>
        <v>0</v>
      </c>
      <c r="G724" s="44" t="n">
        <f aca="false">SUM(G718+G723+G703+G709)</f>
        <v>0</v>
      </c>
      <c r="H724" s="44" t="n">
        <f aca="false">SUM(H718+H723+H703+H709)</f>
        <v>0</v>
      </c>
      <c r="I724" s="44" t="n">
        <f aca="false">SUM(I718+I723+I703+I709)</f>
        <v>0</v>
      </c>
      <c r="J724" s="44" t="n">
        <f aca="false">SUM(J718+J723+J703+J709)</f>
        <v>58</v>
      </c>
      <c r="K724" s="44" t="n">
        <f aca="false">SUM(K718+K723+K703+K709)</f>
        <v>90</v>
      </c>
      <c r="L724" s="44" t="n">
        <f aca="false">SUM(L718+L723+L703+L709)</f>
        <v>148</v>
      </c>
      <c r="M724" s="44" t="n">
        <f aca="false">SUM(M718+M723+M703+M709)</f>
        <v>58</v>
      </c>
      <c r="N724" s="44" t="n">
        <f aca="false">SUM(N718+N723+N703+N709)</f>
        <v>90</v>
      </c>
      <c r="O724" s="44" t="n">
        <f aca="false">SUM(O718+O723+O703+O709)</f>
        <v>148</v>
      </c>
      <c r="P724" s="52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30" hidden="false" customHeight="true" outlineLevel="0" collapsed="false">
      <c r="A725" s="34" t="s">
        <v>184</v>
      </c>
      <c r="B725" s="34"/>
      <c r="C725" s="34"/>
      <c r="D725" s="34"/>
      <c r="E725" s="34"/>
      <c r="F725" s="34"/>
      <c r="G725" s="5"/>
      <c r="H725" s="5"/>
      <c r="I725" s="5"/>
      <c r="J725" s="5"/>
      <c r="K725" s="5"/>
      <c r="L725" s="5"/>
      <c r="M725" s="5"/>
      <c r="N725" s="5"/>
      <c r="O725" s="5"/>
      <c r="P725" s="52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30" hidden="false" customHeight="true" outlineLevel="0" collapsed="false">
      <c r="A726" s="68" t="s">
        <v>108</v>
      </c>
      <c r="B726" s="38" t="s">
        <v>16</v>
      </c>
      <c r="C726" s="170" t="s">
        <v>17</v>
      </c>
      <c r="D726" s="38" t="s">
        <v>18</v>
      </c>
      <c r="E726" s="38"/>
      <c r="F726" s="38"/>
      <c r="G726" s="38" t="s">
        <v>19</v>
      </c>
      <c r="H726" s="38"/>
      <c r="I726" s="38"/>
      <c r="J726" s="38" t="s">
        <v>20</v>
      </c>
      <c r="K726" s="38"/>
      <c r="L726" s="38"/>
      <c r="M726" s="38" t="s">
        <v>21</v>
      </c>
      <c r="N726" s="38"/>
      <c r="O726" s="38"/>
      <c r="P726" s="52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30" hidden="false" customHeight="true" outlineLevel="0" collapsed="false">
      <c r="A727" s="78" t="s">
        <v>76</v>
      </c>
      <c r="B727" s="69"/>
      <c r="C727" s="69"/>
      <c r="D727" s="44" t="s">
        <v>23</v>
      </c>
      <c r="E727" s="44" t="s">
        <v>24</v>
      </c>
      <c r="F727" s="44" t="s">
        <v>25</v>
      </c>
      <c r="G727" s="44" t="s">
        <v>23</v>
      </c>
      <c r="H727" s="44" t="s">
        <v>24</v>
      </c>
      <c r="I727" s="44" t="s">
        <v>25</v>
      </c>
      <c r="J727" s="44" t="s">
        <v>23</v>
      </c>
      <c r="K727" s="44" t="s">
        <v>24</v>
      </c>
      <c r="L727" s="44" t="s">
        <v>25</v>
      </c>
      <c r="M727" s="44" t="s">
        <v>23</v>
      </c>
      <c r="N727" s="44" t="s">
        <v>24</v>
      </c>
      <c r="O727" s="45" t="s">
        <v>25</v>
      </c>
      <c r="P727" s="52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23.25" hidden="false" customHeight="true" outlineLevel="0" collapsed="false">
      <c r="A728" s="226" t="s">
        <v>268</v>
      </c>
      <c r="B728" s="227" t="s">
        <v>189</v>
      </c>
      <c r="C728" s="228" t="s">
        <v>187</v>
      </c>
      <c r="D728" s="228" t="n">
        <v>0</v>
      </c>
      <c r="E728" s="228" t="n">
        <v>0</v>
      </c>
      <c r="F728" s="228" t="n">
        <v>0</v>
      </c>
      <c r="G728" s="229" t="n">
        <v>0</v>
      </c>
      <c r="H728" s="228" t="n">
        <v>0</v>
      </c>
      <c r="I728" s="228" t="n">
        <v>0</v>
      </c>
      <c r="J728" s="44" t="n">
        <v>3</v>
      </c>
      <c r="K728" s="44" t="n">
        <v>6</v>
      </c>
      <c r="L728" s="44" t="n">
        <v>9</v>
      </c>
      <c r="M728" s="44" t="n">
        <v>3</v>
      </c>
      <c r="N728" s="44" t="n">
        <v>6</v>
      </c>
      <c r="O728" s="217" t="n">
        <v>9</v>
      </c>
      <c r="P728" s="52" t="n">
        <f aca="false">+(N728-M728)/O728</f>
        <v>0.333333333333333</v>
      </c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20.25" hidden="false" customHeight="true" outlineLevel="0" collapsed="false">
      <c r="A729" s="109" t="s">
        <v>46</v>
      </c>
      <c r="B729" s="109"/>
      <c r="C729" s="109"/>
      <c r="D729" s="44" t="n">
        <f aca="false">SUM(D728)</f>
        <v>0</v>
      </c>
      <c r="E729" s="44" t="n">
        <f aca="false">SUM(E728)</f>
        <v>0</v>
      </c>
      <c r="F729" s="44" t="n">
        <f aca="false">SUM(F728)</f>
        <v>0</v>
      </c>
      <c r="G729" s="44" t="n">
        <f aca="false">SUM(G728)</f>
        <v>0</v>
      </c>
      <c r="H729" s="44" t="n">
        <f aca="false">SUM(H728)</f>
        <v>0</v>
      </c>
      <c r="I729" s="44" t="n">
        <f aca="false">SUM(I728)</f>
        <v>0</v>
      </c>
      <c r="J729" s="44" t="n">
        <v>3</v>
      </c>
      <c r="K729" s="44" t="n">
        <v>6</v>
      </c>
      <c r="L729" s="44" t="n">
        <v>9</v>
      </c>
      <c r="M729" s="44" t="n">
        <v>3</v>
      </c>
      <c r="N729" s="44" t="n">
        <v>6</v>
      </c>
      <c r="O729" s="217" t="n">
        <v>9</v>
      </c>
      <c r="P729" s="52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27" hidden="false" customHeight="true" outlineLevel="0" collapsed="false">
      <c r="A730" s="111" t="s">
        <v>77</v>
      </c>
      <c r="B730" s="111"/>
      <c r="C730" s="111"/>
      <c r="D730" s="44" t="n">
        <f aca="false">SUM(D724+D729+D717)</f>
        <v>0</v>
      </c>
      <c r="E730" s="44" t="n">
        <f aca="false">SUM(E724+E729+E717)</f>
        <v>0</v>
      </c>
      <c r="F730" s="44" t="n">
        <f aca="false">SUM(F724+F729+F717)</f>
        <v>0</v>
      </c>
      <c r="G730" s="44" t="n">
        <f aca="false">SUM(G724+G729+G717)</f>
        <v>0</v>
      </c>
      <c r="H730" s="44" t="n">
        <f aca="false">SUM(H724+H729+H717)</f>
        <v>0</v>
      </c>
      <c r="I730" s="44" t="n">
        <f aca="false">SUM(I724+I729+I717)</f>
        <v>0</v>
      </c>
      <c r="J730" s="44" t="n">
        <v>3</v>
      </c>
      <c r="K730" s="44" t="n">
        <v>6</v>
      </c>
      <c r="L730" s="44" t="n">
        <v>9</v>
      </c>
      <c r="M730" s="44" t="n">
        <v>3</v>
      </c>
      <c r="N730" s="44" t="n">
        <v>6</v>
      </c>
      <c r="O730" s="44" t="n">
        <v>9</v>
      </c>
      <c r="P730" s="52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30" hidden="false" customHeight="true" outlineLevel="0" collapsed="false">
      <c r="A731" s="112"/>
      <c r="B731" s="112"/>
      <c r="C731" s="11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2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26.25" hidden="false" customHeight="true" outlineLevel="0" collapsed="false">
      <c r="A732" s="34" t="s">
        <v>210</v>
      </c>
      <c r="B732" s="34"/>
      <c r="C732" s="34"/>
      <c r="D732" s="34"/>
      <c r="E732" s="34"/>
      <c r="F732" s="34"/>
      <c r="G732" s="35" t="s">
        <v>13</v>
      </c>
      <c r="H732" s="35"/>
      <c r="I732" s="35"/>
      <c r="J732" s="35"/>
      <c r="K732" s="35"/>
      <c r="L732" s="35"/>
      <c r="M732" s="35"/>
      <c r="N732" s="35"/>
      <c r="O732" s="35"/>
      <c r="P732" s="52"/>
    </row>
    <row r="733" customFormat="false" ht="24" hidden="false" customHeight="true" outlineLevel="0" collapsed="false">
      <c r="A733" s="68" t="s">
        <v>108</v>
      </c>
      <c r="B733" s="38" t="s">
        <v>16</v>
      </c>
      <c r="C733" s="170" t="s">
        <v>17</v>
      </c>
      <c r="D733" s="38" t="s">
        <v>18</v>
      </c>
      <c r="E733" s="38"/>
      <c r="F733" s="38"/>
      <c r="G733" s="38" t="s">
        <v>19</v>
      </c>
      <c r="H733" s="38"/>
      <c r="I733" s="38"/>
      <c r="J733" s="38" t="s">
        <v>20</v>
      </c>
      <c r="K733" s="38"/>
      <c r="L733" s="38"/>
      <c r="M733" s="38" t="s">
        <v>21</v>
      </c>
      <c r="N733" s="38"/>
      <c r="O733" s="38"/>
      <c r="P733" s="52"/>
    </row>
    <row r="734" customFormat="false" ht="24" hidden="false" customHeight="true" outlineLevel="0" collapsed="false">
      <c r="A734" s="68" t="s">
        <v>72</v>
      </c>
      <c r="B734" s="230"/>
      <c r="C734" s="231"/>
      <c r="D734" s="44" t="s">
        <v>23</v>
      </c>
      <c r="E734" s="44" t="s">
        <v>24</v>
      </c>
      <c r="F734" s="44" t="s">
        <v>25</v>
      </c>
      <c r="G734" s="44" t="s">
        <v>23</v>
      </c>
      <c r="H734" s="44" t="s">
        <v>24</v>
      </c>
      <c r="I734" s="44" t="s">
        <v>25</v>
      </c>
      <c r="J734" s="44" t="s">
        <v>23</v>
      </c>
      <c r="K734" s="44" t="s">
        <v>24</v>
      </c>
      <c r="L734" s="44" t="s">
        <v>25</v>
      </c>
      <c r="M734" s="44" t="s">
        <v>23</v>
      </c>
      <c r="N734" s="44" t="s">
        <v>24</v>
      </c>
      <c r="O734" s="45" t="s">
        <v>25</v>
      </c>
      <c r="P734" s="52"/>
    </row>
    <row r="735" customFormat="false" ht="24" hidden="false" customHeight="true" outlineLevel="0" collapsed="false">
      <c r="A735" s="232" t="s">
        <v>269</v>
      </c>
      <c r="B735" s="192" t="s">
        <v>240</v>
      </c>
      <c r="C735" s="122" t="s">
        <v>212</v>
      </c>
      <c r="D735" s="122" t="n">
        <v>0</v>
      </c>
      <c r="E735" s="122" t="n">
        <v>0</v>
      </c>
      <c r="F735" s="122" t="n">
        <v>0</v>
      </c>
      <c r="G735" s="122" t="n">
        <v>0</v>
      </c>
      <c r="H735" s="122" t="n">
        <v>0</v>
      </c>
      <c r="I735" s="122" t="n">
        <v>0</v>
      </c>
      <c r="J735" s="186" t="n">
        <v>3</v>
      </c>
      <c r="K735" s="186" t="n">
        <v>3</v>
      </c>
      <c r="L735" s="186" t="n">
        <v>6</v>
      </c>
      <c r="M735" s="186" t="n">
        <v>3</v>
      </c>
      <c r="N735" s="186" t="n">
        <v>3</v>
      </c>
      <c r="O735" s="186" t="n">
        <v>6</v>
      </c>
      <c r="P735" s="52" t="n">
        <f aca="false">+(N735-M735)/O735</f>
        <v>0</v>
      </c>
    </row>
    <row r="736" customFormat="false" ht="24" hidden="false" customHeight="true" outlineLevel="0" collapsed="false">
      <c r="A736" s="109" t="s">
        <v>46</v>
      </c>
      <c r="B736" s="109"/>
      <c r="C736" s="109"/>
      <c r="D736" s="44" t="n">
        <v>0</v>
      </c>
      <c r="E736" s="44" t="n">
        <v>0</v>
      </c>
      <c r="F736" s="44" t="n">
        <v>0</v>
      </c>
      <c r="G736" s="44" t="n">
        <v>0</v>
      </c>
      <c r="H736" s="44" t="n">
        <v>0</v>
      </c>
      <c r="I736" s="44" t="n">
        <v>0</v>
      </c>
      <c r="J736" s="44" t="n">
        <v>3</v>
      </c>
      <c r="K736" s="44" t="n">
        <v>3</v>
      </c>
      <c r="L736" s="44" t="n">
        <v>6</v>
      </c>
      <c r="M736" s="44" t="n">
        <v>3</v>
      </c>
      <c r="N736" s="44" t="n">
        <v>3</v>
      </c>
      <c r="O736" s="45" t="n">
        <v>6</v>
      </c>
      <c r="P736" s="52"/>
    </row>
    <row r="737" customFormat="false" ht="24" hidden="false" customHeight="true" outlineLevel="0" collapsed="false">
      <c r="A737" s="233"/>
      <c r="B737" s="234"/>
      <c r="C737" s="23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235"/>
      <c r="P737" s="52"/>
    </row>
    <row r="738" customFormat="false" ht="21.75" hidden="false" customHeight="true" outlineLevel="0" collapsed="false">
      <c r="A738" s="78" t="s">
        <v>76</v>
      </c>
      <c r="B738" s="69"/>
      <c r="C738" s="69"/>
      <c r="D738" s="44" t="s">
        <v>23</v>
      </c>
      <c r="E738" s="44" t="s">
        <v>24</v>
      </c>
      <c r="F738" s="44" t="s">
        <v>25</v>
      </c>
      <c r="G738" s="44" t="s">
        <v>23</v>
      </c>
      <c r="H738" s="44" t="s">
        <v>24</v>
      </c>
      <c r="I738" s="44" t="s">
        <v>25</v>
      </c>
      <c r="J738" s="44" t="s">
        <v>23</v>
      </c>
      <c r="K738" s="44" t="s">
        <v>24</v>
      </c>
      <c r="L738" s="44" t="s">
        <v>25</v>
      </c>
      <c r="M738" s="44" t="s">
        <v>23</v>
      </c>
      <c r="N738" s="44" t="s">
        <v>24</v>
      </c>
      <c r="O738" s="45" t="s">
        <v>25</v>
      </c>
      <c r="P738" s="52"/>
    </row>
    <row r="739" customFormat="false" ht="27.75" hidden="false" customHeight="true" outlineLevel="0" collapsed="false">
      <c r="A739" s="236" t="s">
        <v>270</v>
      </c>
      <c r="B739" s="237" t="s">
        <v>271</v>
      </c>
      <c r="C739" s="199" t="s">
        <v>212</v>
      </c>
      <c r="D739" s="165" t="n">
        <v>0</v>
      </c>
      <c r="E739" s="165" t="n">
        <v>0</v>
      </c>
      <c r="F739" s="165" t="n">
        <v>0</v>
      </c>
      <c r="G739" s="108" t="n">
        <v>0</v>
      </c>
      <c r="H739" s="108" t="n">
        <v>0</v>
      </c>
      <c r="I739" s="108" t="n">
        <v>0</v>
      </c>
      <c r="J739" s="108" t="n">
        <v>11</v>
      </c>
      <c r="K739" s="108" t="n">
        <v>5</v>
      </c>
      <c r="L739" s="108" t="n">
        <v>16</v>
      </c>
      <c r="M739" s="58" t="n">
        <v>11</v>
      </c>
      <c r="N739" s="58" t="n">
        <v>5</v>
      </c>
      <c r="O739" s="59" t="n">
        <v>16</v>
      </c>
      <c r="P739" s="52" t="n">
        <f aca="false">+(N739-M739)/O739</f>
        <v>-0.375</v>
      </c>
      <c r="Q739" s="2" t="n">
        <v>0</v>
      </c>
    </row>
    <row r="740" customFormat="false" ht="15.75" hidden="false" customHeight="true" outlineLevel="0" collapsed="false">
      <c r="A740" s="109" t="s">
        <v>46</v>
      </c>
      <c r="B740" s="109"/>
      <c r="C740" s="109"/>
      <c r="D740" s="44" t="n">
        <f aca="false">D739</f>
        <v>0</v>
      </c>
      <c r="E740" s="44" t="n">
        <f aca="false">E739</f>
        <v>0</v>
      </c>
      <c r="F740" s="44" t="n">
        <f aca="false">F739</f>
        <v>0</v>
      </c>
      <c r="G740" s="44" t="n">
        <f aca="false">G739</f>
        <v>0</v>
      </c>
      <c r="H740" s="44" t="n">
        <f aca="false">H739</f>
        <v>0</v>
      </c>
      <c r="I740" s="44" t="n">
        <f aca="false">I739</f>
        <v>0</v>
      </c>
      <c r="J740" s="44" t="n">
        <f aca="false">J739</f>
        <v>11</v>
      </c>
      <c r="K740" s="44" t="n">
        <f aca="false">K739</f>
        <v>5</v>
      </c>
      <c r="L740" s="44" t="n">
        <f aca="false">L739</f>
        <v>16</v>
      </c>
      <c r="M740" s="44" t="n">
        <f aca="false">M739</f>
        <v>11</v>
      </c>
      <c r="N740" s="44" t="n">
        <f aca="false">N739</f>
        <v>5</v>
      </c>
      <c r="O740" s="45" t="n">
        <f aca="false">O739</f>
        <v>16</v>
      </c>
      <c r="P740" s="52"/>
    </row>
    <row r="741" customFormat="false" ht="24" hidden="false" customHeight="true" outlineLevel="0" collapsed="false">
      <c r="A741" s="111" t="s">
        <v>77</v>
      </c>
      <c r="B741" s="111"/>
      <c r="C741" s="111"/>
      <c r="D741" s="44" t="n">
        <f aca="false">D736+D740</f>
        <v>0</v>
      </c>
      <c r="E741" s="44" t="n">
        <f aca="false">E736+E740</f>
        <v>0</v>
      </c>
      <c r="F741" s="44" t="n">
        <f aca="false">F736+F740</f>
        <v>0</v>
      </c>
      <c r="G741" s="44" t="n">
        <f aca="false">G736+G740</f>
        <v>0</v>
      </c>
      <c r="H741" s="44" t="n">
        <f aca="false">H736+H740</f>
        <v>0</v>
      </c>
      <c r="I741" s="44" t="n">
        <f aca="false">I736+I740</f>
        <v>0</v>
      </c>
      <c r="J741" s="44" t="n">
        <f aca="false">J736+J740</f>
        <v>14</v>
      </c>
      <c r="K741" s="44" t="n">
        <f aca="false">K736+K740</f>
        <v>8</v>
      </c>
      <c r="L741" s="44" t="n">
        <f aca="false">L736+L740</f>
        <v>22</v>
      </c>
      <c r="M741" s="44" t="n">
        <f aca="false">M736+M740</f>
        <v>14</v>
      </c>
      <c r="N741" s="44" t="n">
        <f aca="false">N736+N740</f>
        <v>8</v>
      </c>
      <c r="O741" s="44" t="n">
        <f aca="false">O736+O740</f>
        <v>22</v>
      </c>
      <c r="P741" s="52"/>
    </row>
    <row r="742" customFormat="false" ht="28.5" hidden="false" customHeight="true" outlineLevel="0" collapsed="false">
      <c r="A742" s="67"/>
      <c r="B742" s="67"/>
      <c r="C742" s="67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52"/>
    </row>
    <row r="743" customFormat="false" ht="23.25" hidden="false" customHeight="true" outlineLevel="0" collapsed="false">
      <c r="A743" s="206" t="s">
        <v>272</v>
      </c>
      <c r="B743" s="206"/>
      <c r="C743" s="206"/>
      <c r="D743" s="238" t="n">
        <f aca="false">SUM(D686+D697+D724+D730+D741)</f>
        <v>0</v>
      </c>
      <c r="E743" s="238" t="n">
        <f aca="false">SUM(E686+E697+E724+E730+E741)</f>
        <v>0</v>
      </c>
      <c r="F743" s="238" t="n">
        <f aca="false">SUM(F686+F697+F724+F730+F741)</f>
        <v>0</v>
      </c>
      <c r="G743" s="238" t="n">
        <f aca="false">SUM(G686+G697+G724+G730+G741)</f>
        <v>0</v>
      </c>
      <c r="H743" s="238" t="n">
        <f aca="false">SUM(H686+H697+H724+H730+H741)</f>
        <v>0</v>
      </c>
      <c r="I743" s="238" t="n">
        <f aca="false">SUM(I686+I697+I724+I730+I741)</f>
        <v>0</v>
      </c>
      <c r="J743" s="238" t="n">
        <f aca="false">SUM(J686+J697+J724+J730+J741)</f>
        <v>200</v>
      </c>
      <c r="K743" s="238" t="n">
        <f aca="false">SUM(K686+K697+K724+K730+K741)</f>
        <v>292</v>
      </c>
      <c r="L743" s="238" t="n">
        <f aca="false">SUM(L686+L697+L724+L730+L741)</f>
        <v>492</v>
      </c>
      <c r="M743" s="238" t="n">
        <f aca="false">SUM(M686+M697+M724+M730+M741)</f>
        <v>200</v>
      </c>
      <c r="N743" s="238" t="n">
        <f aca="false">SUM(N686+N697+N724+N730+N741)</f>
        <v>292</v>
      </c>
      <c r="O743" s="238" t="n">
        <f aca="false">SUM(O686+O697+O724+O730+O741)</f>
        <v>492</v>
      </c>
      <c r="P743" s="52" t="n">
        <f aca="false">+(N743-M743)/O743</f>
        <v>0.186991869918699</v>
      </c>
      <c r="Q743" s="5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customFormat="false" ht="24.75" hidden="false" customHeight="true" outlineLevel="0" collapsed="false">
      <c r="A744" s="208"/>
      <c r="B744" s="208"/>
      <c r="C744" s="208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52"/>
    </row>
    <row r="745" customFormat="false" ht="24.75" hidden="false" customHeight="true" outlineLevel="0" collapsed="false">
      <c r="A745" s="241" t="s">
        <v>273</v>
      </c>
      <c r="B745" s="241"/>
      <c r="C745" s="241"/>
      <c r="D745" s="242" t="n">
        <f aca="false">SUM(D671+D743)</f>
        <v>26</v>
      </c>
      <c r="E745" s="242" t="n">
        <f aca="false">SUM(E671+E743)</f>
        <v>35</v>
      </c>
      <c r="F745" s="242" t="n">
        <f aca="false">SUM(F671+F743)</f>
        <v>61</v>
      </c>
      <c r="G745" s="242" t="n">
        <f aca="false">SUM(G671+G743)</f>
        <v>26</v>
      </c>
      <c r="H745" s="242" t="n">
        <f aca="false">SUM(H671+H743)</f>
        <v>35</v>
      </c>
      <c r="I745" s="242" t="n">
        <f aca="false">SUM(I671+I743)</f>
        <v>61</v>
      </c>
      <c r="J745" s="242" t="n">
        <f aca="false">SUM(J671+J743)</f>
        <v>12588</v>
      </c>
      <c r="K745" s="242" t="n">
        <f aca="false">SUM(K671+K743)</f>
        <v>15855</v>
      </c>
      <c r="L745" s="242" t="n">
        <f aca="false">SUM(L671+L743)</f>
        <v>28443</v>
      </c>
      <c r="M745" s="242" t="n">
        <f aca="false">SUM(M671+M743)</f>
        <v>12613</v>
      </c>
      <c r="N745" s="242" t="n">
        <f aca="false">SUM(N671+N743)</f>
        <v>15891</v>
      </c>
      <c r="O745" s="242" t="n">
        <f aca="false">SUM(O671+O743)</f>
        <v>28504</v>
      </c>
      <c r="P745" s="52" t="n">
        <f aca="false">+(N745-M745)/O745</f>
        <v>0.115001403311816</v>
      </c>
      <c r="Q745" s="5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customFormat="false" ht="26.25" hidden="false" customHeight="true" outlineLevel="0" collapsed="false">
      <c r="A746" s="243" t="s">
        <v>274</v>
      </c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</row>
    <row r="747" customFormat="false" ht="24.75" hidden="false" customHeight="true" outlineLevel="0" collapsed="false">
      <c r="A747" s="244"/>
    </row>
    <row r="748" customFormat="false" ht="24.75" hidden="false" customHeight="true" outlineLevel="0" collapsed="false">
      <c r="A748" s="244"/>
    </row>
    <row r="749" customFormat="false" ht="24.75" hidden="false" customHeight="true" outlineLevel="0" collapsed="false">
      <c r="A749" s="244"/>
    </row>
    <row r="750" customFormat="false" ht="24.75" hidden="false" customHeight="true" outlineLevel="0" collapsed="false">
      <c r="A750" s="244"/>
    </row>
    <row r="751" customFormat="false" ht="24.75" hidden="false" customHeight="true" outlineLevel="0" collapsed="false">
      <c r="A751" s="244"/>
    </row>
    <row r="752" customFormat="false" ht="24.75" hidden="false" customHeight="true" outlineLevel="0" collapsed="false">
      <c r="A752" s="244"/>
    </row>
    <row r="753" customFormat="false" ht="24.75" hidden="false" customHeight="true" outlineLevel="0" collapsed="false">
      <c r="A753" s="244"/>
    </row>
    <row r="754" customFormat="false" ht="24.75" hidden="false" customHeight="true" outlineLevel="0" collapsed="false">
      <c r="A754" s="244"/>
    </row>
    <row r="755" customFormat="false" ht="24.75" hidden="false" customHeight="true" outlineLevel="0" collapsed="false">
      <c r="A755" s="244"/>
    </row>
    <row r="756" customFormat="false" ht="24.75" hidden="false" customHeight="true" outlineLevel="0" collapsed="false">
      <c r="A756" s="244"/>
    </row>
    <row r="757" customFormat="false" ht="24.75" hidden="false" customHeight="true" outlineLevel="0" collapsed="false"/>
    <row r="758" customFormat="false" ht="24.75" hidden="false" customHeight="true" outlineLevel="0" collapsed="false"/>
    <row r="759" customFormat="false" ht="24.75" hidden="false" customHeight="true" outlineLevel="0" collapsed="false"/>
    <row r="760" customFormat="false" ht="24.75" hidden="false" customHeight="true" outlineLevel="0" collapsed="false"/>
    <row r="761" customFormat="false" ht="24.75" hidden="false" customHeight="true" outlineLevel="0" collapsed="false"/>
    <row r="762" customFormat="false" ht="24.75" hidden="false" customHeight="true" outlineLevel="0" collapsed="false"/>
    <row r="763" customFormat="false" ht="24.75" hidden="false" customHeight="true" outlineLevel="0" collapsed="false"/>
    <row r="764" customFormat="false" ht="24.75" hidden="false" customHeight="true" outlineLevel="0" collapsed="false"/>
    <row r="765" customFormat="false" ht="24.75" hidden="false" customHeight="true" outlineLevel="0" collapsed="false"/>
    <row r="766" customFormat="false" ht="24.75" hidden="false" customHeight="true" outlineLevel="0" collapsed="false"/>
    <row r="767" customFormat="false" ht="24.75" hidden="false" customHeight="true" outlineLevel="0" collapsed="false">
      <c r="B767" s="245" t="s">
        <v>275</v>
      </c>
      <c r="C767" s="246"/>
      <c r="D767" s="209"/>
      <c r="E767" s="209"/>
      <c r="F767" s="245" t="s">
        <v>276</v>
      </c>
      <c r="G767" s="245"/>
      <c r="H767" s="245"/>
      <c r="I767" s="245"/>
      <c r="J767" s="245"/>
      <c r="K767" s="245"/>
    </row>
    <row r="768" customFormat="false" ht="24.75" hidden="false" customHeight="true" outlineLevel="0" collapsed="false">
      <c r="B768" s="247" t="s">
        <v>277</v>
      </c>
      <c r="C768" s="208"/>
      <c r="D768" s="209"/>
      <c r="E768" s="209"/>
      <c r="F768" s="248" t="s">
        <v>278</v>
      </c>
      <c r="G768" s="248"/>
      <c r="H768" s="248"/>
      <c r="I768" s="248"/>
      <c r="J768" s="248"/>
      <c r="K768" s="248"/>
    </row>
    <row r="769" customFormat="false" ht="24.75" hidden="false" customHeight="true" outlineLevel="0" collapsed="false"/>
    <row r="770" customFormat="false" ht="21" hidden="false" customHeight="true" outlineLevel="0" collapsed="false">
      <c r="A770" s="208"/>
      <c r="B770" s="208"/>
      <c r="C770" s="208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</row>
    <row r="771" customFormat="false" ht="20.25" hidden="false" customHeight="true" outlineLevel="0" collapsed="false">
      <c r="A771" s="208"/>
      <c r="D771" s="3"/>
      <c r="E771" s="3"/>
      <c r="F771" s="3"/>
      <c r="G771" s="3"/>
      <c r="H771" s="3"/>
      <c r="I771" s="3"/>
      <c r="J771" s="3"/>
      <c r="K771" s="3"/>
      <c r="L771" s="209"/>
      <c r="M771" s="209"/>
      <c r="N771" s="209"/>
      <c r="O771" s="209"/>
    </row>
    <row r="772" customFormat="false" ht="17.25" hidden="false" customHeight="true" outlineLevel="0" collapsed="false">
      <c r="A772" s="208"/>
      <c r="D772" s="3"/>
      <c r="E772" s="3"/>
      <c r="F772" s="3"/>
      <c r="G772" s="3"/>
      <c r="H772" s="3"/>
      <c r="I772" s="3"/>
      <c r="J772" s="3"/>
      <c r="K772" s="3"/>
      <c r="L772" s="209"/>
      <c r="M772" s="209"/>
      <c r="N772" s="209"/>
      <c r="O772" s="209"/>
    </row>
    <row r="773" customFormat="false" ht="29.25" hidden="false" customHeight="true" outlineLevel="0" collapsed="false">
      <c r="A773" s="208"/>
      <c r="B773" s="208"/>
      <c r="C773" s="208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</row>
    <row r="774" customFormat="false" ht="15.75" hidden="false" customHeight="true" outlineLevel="0" collapsed="false">
      <c r="A774" s="249"/>
      <c r="B774" s="208"/>
      <c r="C774" s="249"/>
      <c r="D774" s="3"/>
      <c r="E774" s="3"/>
      <c r="F774" s="209"/>
      <c r="G774" s="209"/>
      <c r="H774" s="209"/>
      <c r="I774" s="209"/>
      <c r="J774" s="209"/>
      <c r="K774" s="209"/>
      <c r="L774" s="3"/>
      <c r="M774" s="3"/>
      <c r="N774" s="3"/>
      <c r="O774" s="3"/>
    </row>
    <row r="775" customFormat="false" ht="21" hidden="false" customHeight="true" outlineLevel="0" collapsed="false">
      <c r="A775" s="250"/>
      <c r="B775" s="208"/>
      <c r="C775" s="250"/>
      <c r="D775" s="249"/>
      <c r="E775" s="249"/>
      <c r="F775" s="209"/>
      <c r="G775" s="209"/>
      <c r="H775" s="209"/>
      <c r="I775" s="209"/>
      <c r="J775" s="209"/>
      <c r="K775" s="209"/>
      <c r="L775" s="249"/>
      <c r="M775" s="249"/>
      <c r="N775" s="249"/>
      <c r="O775" s="249"/>
    </row>
    <row r="776" customFormat="false" ht="15.75" hidden="false" customHeight="true" outlineLevel="0" collapsed="false">
      <c r="A776" s="250"/>
      <c r="B776" s="249"/>
      <c r="C776" s="25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customFormat="false" ht="15.75" hidden="false" customHeight="true" outlineLevel="0" collapsed="false">
      <c r="A777" s="249"/>
      <c r="B777" s="250"/>
      <c r="D777" s="249"/>
      <c r="E777" s="249"/>
      <c r="F777" s="249"/>
      <c r="G777" s="249"/>
      <c r="H777" s="249"/>
      <c r="I777" s="249"/>
      <c r="J777" s="249"/>
      <c r="K777" s="249"/>
      <c r="L777" s="3"/>
      <c r="M777" s="3"/>
      <c r="N777" s="3"/>
      <c r="O777" s="3"/>
    </row>
    <row r="778" customFormat="false" ht="15.75" hidden="false" customHeight="true" outlineLevel="0" collapsed="false">
      <c r="B778" s="247"/>
      <c r="C778" s="252"/>
      <c r="D778" s="3"/>
      <c r="E778" s="3"/>
      <c r="F778" s="3"/>
      <c r="G778" s="3"/>
      <c r="H778" s="3"/>
      <c r="I778" s="3"/>
      <c r="J778" s="3"/>
      <c r="K778" s="3"/>
      <c r="L778" s="252"/>
      <c r="M778" s="252"/>
      <c r="N778" s="252"/>
      <c r="O778" s="252"/>
      <c r="P778" s="253"/>
      <c r="Q778" s="253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customFormat="false" ht="15.75" hidden="false" customHeight="true" outlineLevel="0" collapsed="false">
      <c r="C779" s="250"/>
      <c r="D779" s="3"/>
      <c r="E779" s="3"/>
      <c r="F779" s="249"/>
      <c r="G779" s="249"/>
      <c r="H779" s="249"/>
      <c r="I779" s="3"/>
      <c r="J779" s="3"/>
      <c r="K779" s="3"/>
      <c r="L779" s="3"/>
      <c r="M779" s="3"/>
      <c r="N779" s="3"/>
      <c r="O779" s="3"/>
    </row>
    <row r="780" customFormat="false" ht="15.75" hidden="false" customHeight="true" outlineLevel="0" collapsed="false">
      <c r="B780" s="252"/>
      <c r="C780" s="247"/>
      <c r="D780" s="3"/>
      <c r="E780" s="3"/>
      <c r="F780" s="3"/>
      <c r="G780" s="3"/>
      <c r="H780" s="3"/>
      <c r="I780" s="252"/>
      <c r="J780" s="252"/>
      <c r="K780" s="252"/>
      <c r="L780" s="3"/>
      <c r="M780" s="3"/>
      <c r="N780" s="3"/>
      <c r="O780" s="3"/>
    </row>
    <row r="781" customFormat="false" ht="15.75" hidden="false" customHeight="true" outlineLevel="0" collapsed="false">
      <c r="D781" s="3"/>
      <c r="E781" s="3"/>
      <c r="L781" s="3"/>
      <c r="M781" s="3"/>
      <c r="N781" s="3"/>
      <c r="O781" s="3"/>
    </row>
    <row r="782" customFormat="false" ht="15.75" hidden="false" customHeight="true" outlineLevel="0" collapsed="false"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customFormat="false" ht="15.75" hidden="false" customHeight="true" outlineLevel="0" collapsed="false"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customFormat="false" ht="15.75" hidden="false" customHeight="true" outlineLevel="0" collapsed="false"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customFormat="false" ht="21" hidden="false" customHeight="true" outlineLevel="0" collapsed="false">
      <c r="C785" s="250"/>
      <c r="D785" s="3"/>
      <c r="E785" s="3"/>
      <c r="L785" s="250"/>
      <c r="M785" s="250"/>
      <c r="N785" s="250"/>
      <c r="O785" s="250"/>
    </row>
    <row r="786" customFormat="false" ht="15.75" hidden="false" customHeight="true" outlineLevel="0" collapsed="false">
      <c r="C786" s="251"/>
      <c r="D786" s="3"/>
      <c r="E786" s="3"/>
      <c r="L786" s="249"/>
      <c r="M786" s="249"/>
      <c r="N786" s="249"/>
      <c r="O786" s="249"/>
    </row>
    <row r="787" customFormat="false" ht="15.75" hidden="false" customHeight="true" outlineLevel="0" collapsed="false"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customFormat="false" ht="15.75" hidden="false" customHeight="true" outlineLevel="0" collapsed="false"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customFormat="false" ht="15.75" hidden="false" customHeight="true" outlineLevel="0" collapsed="false"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customFormat="false" ht="15.75" hidden="false" customHeight="true" outlineLevel="0" collapsed="false"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customFormat="false" ht="15.75" hidden="false" customHeight="true" outlineLevel="0" collapsed="false"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customFormat="false" ht="15.75" hidden="false" customHeight="true" outlineLevel="0" collapsed="false"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customFormat="false" ht="15.75" hidden="false" customHeight="true" outlineLevel="0" collapsed="false"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customFormat="false" ht="15.75" hidden="false" customHeight="true" outlineLevel="0" collapsed="false"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customFormat="false" ht="15.75" hidden="false" customHeight="true" outlineLevel="0" collapsed="false"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customFormat="false" ht="15.75" hidden="false" customHeight="true" outlineLevel="0" collapsed="false"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customFormat="false" ht="15.75" hidden="false" customHeight="true" outlineLevel="0" collapsed="false"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customFormat="false" ht="15.75" hidden="false" customHeight="true" outlineLevel="0" collapsed="false"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customFormat="false" ht="15.75" hidden="false" customHeight="true" outlineLevel="0" collapsed="false"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customFormat="false" ht="15.75" hidden="false" customHeight="true" outlineLevel="0" collapsed="false"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customFormat="false" ht="15.75" hidden="false" customHeight="true" outlineLevel="0" collapsed="false"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customFormat="false" ht="15.75" hidden="false" customHeight="true" outlineLevel="0" collapsed="false"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customFormat="false" ht="15.75" hidden="false" customHeight="true" outlineLevel="0" collapsed="false"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customFormat="false" ht="15.75" hidden="false" customHeight="true" outlineLevel="0" collapsed="false"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customFormat="false" ht="15.75" hidden="false" customHeight="true" outlineLevel="0" collapsed="false"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customFormat="false" ht="15.75" hidden="false" customHeight="true" outlineLevel="0" collapsed="false"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customFormat="false" ht="15.75" hidden="false" customHeight="true" outlineLevel="0" collapsed="false"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customFormat="false" ht="15.75" hidden="false" customHeight="true" outlineLevel="0" collapsed="false"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customFormat="false" ht="15.75" hidden="false" customHeight="true" outlineLevel="0" collapsed="false"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customFormat="false" ht="15.75" hidden="false" customHeight="true" outlineLevel="0" collapsed="false"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customFormat="false" ht="15.75" hidden="false" customHeight="true" outlineLevel="0" collapsed="false"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customFormat="false" ht="15.75" hidden="false" customHeight="true" outlineLevel="0" collapsed="false"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customFormat="false" ht="15.75" hidden="false" customHeight="true" outlineLevel="0" collapsed="false"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customFormat="false" ht="15.75" hidden="false" customHeight="true" outlineLevel="0" collapsed="false"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customFormat="false" ht="15.75" hidden="false" customHeight="true" outlineLevel="0" collapsed="false"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customFormat="false" ht="15.75" hidden="false" customHeight="true" outlineLevel="0" collapsed="false"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customFormat="false" ht="15.75" hidden="false" customHeight="true" outlineLevel="0" collapsed="false"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customFormat="false" ht="15.75" hidden="false" customHeight="true" outlineLevel="0" collapsed="false"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customFormat="false" ht="15.75" hidden="false" customHeight="true" outlineLevel="0" collapsed="false"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customFormat="false" ht="15.75" hidden="false" customHeight="true" outlineLevel="0" collapsed="false"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customFormat="false" ht="15.75" hidden="false" customHeight="true" outlineLevel="0" collapsed="false"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customFormat="false" ht="15.75" hidden="false" customHeight="true" outlineLevel="0" collapsed="false"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customFormat="false" ht="15.75" hidden="false" customHeight="true" outlineLevel="0" collapsed="false"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customFormat="false" ht="15.75" hidden="false" customHeight="true" outlineLevel="0" collapsed="false"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customFormat="false" ht="15.75" hidden="false" customHeight="true" outlineLevel="0" collapsed="false"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customFormat="false" ht="15.75" hidden="false" customHeight="true" outlineLevel="0" collapsed="false"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customFormat="false" ht="15.75" hidden="false" customHeight="true" outlineLevel="0" collapsed="false"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customFormat="false" ht="15.75" hidden="false" customHeight="true" outlineLevel="0" collapsed="false"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customFormat="false" ht="15.75" hidden="false" customHeight="true" outlineLevel="0" collapsed="false"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customFormat="false" ht="15.75" hidden="false" customHeight="true" outlineLevel="0" collapsed="false"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customFormat="false" ht="15.75" hidden="false" customHeight="true" outlineLevel="0" collapsed="false"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customFormat="false" ht="15.75" hidden="false" customHeight="true" outlineLevel="0" collapsed="false"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customFormat="false" ht="15.75" hidden="false" customHeight="true" outlineLevel="0" collapsed="false"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customFormat="false" ht="15.75" hidden="false" customHeight="true" outlineLevel="0" collapsed="false"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customFormat="false" ht="15.75" hidden="false" customHeight="true" outlineLevel="0" collapsed="false"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customFormat="false" ht="15.75" hidden="false" customHeight="true" outlineLevel="0" collapsed="false"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customFormat="false" ht="15.75" hidden="false" customHeight="true" outlineLevel="0" collapsed="false"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customFormat="false" ht="15.75" hidden="false" customHeight="true" outlineLevel="0" collapsed="false"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customFormat="false" ht="15.75" hidden="false" customHeight="true" outlineLevel="0" collapsed="false"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customFormat="false" ht="15.75" hidden="false" customHeight="true" outlineLevel="0" collapsed="false"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customFormat="false" ht="15.75" hidden="false" customHeight="true" outlineLevel="0" collapsed="false"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customFormat="false" ht="15.75" hidden="false" customHeight="true" outlineLevel="0" collapsed="false"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customFormat="false" ht="15.75" hidden="false" customHeight="true" outlineLevel="0" collapsed="false"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customFormat="false" ht="15.75" hidden="false" customHeight="true" outlineLevel="0" collapsed="false"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customFormat="false" ht="15.75" hidden="false" customHeight="true" outlineLevel="0" collapsed="false"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customFormat="false" ht="15.75" hidden="false" customHeight="true" outlineLevel="0" collapsed="false"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customFormat="false" ht="15.75" hidden="false" customHeight="true" outlineLevel="0" collapsed="false"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customFormat="false" ht="15.75" hidden="false" customHeight="true" outlineLevel="0" collapsed="false"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customFormat="false" ht="15.75" hidden="false" customHeight="true" outlineLevel="0" collapsed="false"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customFormat="false" ht="15.75" hidden="false" customHeight="true" outlineLevel="0" collapsed="false"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customFormat="false" ht="15.75" hidden="false" customHeight="true" outlineLevel="0" collapsed="false"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customFormat="false" ht="15.75" hidden="false" customHeight="true" outlineLevel="0" collapsed="false"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customFormat="false" ht="15.75" hidden="false" customHeight="true" outlineLevel="0" collapsed="false"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customFormat="false" ht="15.75" hidden="false" customHeight="true" outlineLevel="0" collapsed="false"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customFormat="false" ht="15.75" hidden="false" customHeight="true" outlineLevel="0" collapsed="false"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customFormat="false" ht="15.75" hidden="false" customHeight="true" outlineLevel="0" collapsed="false"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customFormat="false" ht="15.75" hidden="false" customHeight="true" outlineLevel="0" collapsed="false"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customFormat="false" ht="15.75" hidden="false" customHeight="true" outlineLevel="0" collapsed="false"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customFormat="false" ht="15.75" hidden="false" customHeight="true" outlineLevel="0" collapsed="false"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customFormat="false" ht="15.75" hidden="false" customHeight="true" outlineLevel="0" collapsed="false"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customFormat="false" ht="15.75" hidden="false" customHeight="true" outlineLevel="0" collapsed="false"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customFormat="false" ht="15.75" hidden="false" customHeight="true" outlineLevel="0" collapsed="false"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customFormat="false" ht="15.75" hidden="false" customHeight="true" outlineLevel="0" collapsed="false"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customFormat="false" ht="15.75" hidden="false" customHeight="true" outlineLevel="0" collapsed="false"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customFormat="false" ht="15.75" hidden="false" customHeight="true" outlineLevel="0" collapsed="false"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customFormat="false" ht="15.75" hidden="false" customHeight="true" outlineLevel="0" collapsed="false"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customFormat="false" ht="15.75" hidden="false" customHeight="true" outlineLevel="0" collapsed="false"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customFormat="false" ht="15.75" hidden="false" customHeight="true" outlineLevel="0" collapsed="false"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customFormat="false" ht="15.75" hidden="false" customHeight="true" outlineLevel="0" collapsed="false"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customFormat="false" ht="15.75" hidden="false" customHeight="true" outlineLevel="0" collapsed="false"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customFormat="false" ht="15.75" hidden="false" customHeight="true" outlineLevel="0" collapsed="false"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customFormat="false" ht="15.75" hidden="false" customHeight="true" outlineLevel="0" collapsed="false"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customFormat="false" ht="15.75" hidden="false" customHeight="true" outlineLevel="0" collapsed="false"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customFormat="false" ht="15.75" hidden="false" customHeight="true" outlineLevel="0" collapsed="false"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customFormat="false" ht="15.75" hidden="false" customHeight="true" outlineLevel="0" collapsed="false"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customFormat="false" ht="15.75" hidden="false" customHeight="true" outlineLevel="0" collapsed="false"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customFormat="false" ht="15.75" hidden="false" customHeight="true" outlineLevel="0" collapsed="false"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customFormat="false" ht="15.75" hidden="false" customHeight="true" outlineLevel="0" collapsed="false"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customFormat="false" ht="15.75" hidden="false" customHeight="true" outlineLevel="0" collapsed="false"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customFormat="false" ht="15.75" hidden="false" customHeight="true" outlineLevel="0" collapsed="false"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customFormat="false" ht="15.75" hidden="false" customHeight="true" outlineLevel="0" collapsed="false"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customFormat="false" ht="15.75" hidden="false" customHeight="true" outlineLevel="0" collapsed="false"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customFormat="false" ht="15.75" hidden="false" customHeight="true" outlineLevel="0" collapsed="false"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customFormat="false" ht="15.75" hidden="false" customHeight="true" outlineLevel="0" collapsed="false"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customFormat="false" ht="15.75" hidden="false" customHeight="true" outlineLevel="0" collapsed="false"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customFormat="false" ht="15.75" hidden="false" customHeight="true" outlineLevel="0" collapsed="false"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customFormat="false" ht="15.75" hidden="false" customHeight="true" outlineLevel="0" collapsed="false"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customFormat="false" ht="15.75" hidden="false" customHeight="true" outlineLevel="0" collapsed="false"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customFormat="false" ht="15.75" hidden="false" customHeight="true" outlineLevel="0" collapsed="false"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customFormat="false" ht="15.75" hidden="false" customHeight="true" outlineLevel="0" collapsed="false"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customFormat="false" ht="15.75" hidden="false" customHeight="true" outlineLevel="0" collapsed="false"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customFormat="false" ht="15.75" hidden="false" customHeight="true" outlineLevel="0" collapsed="false"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customFormat="false" ht="15.75" hidden="false" customHeight="true" outlineLevel="0" collapsed="false"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customFormat="false" ht="15.75" hidden="false" customHeight="true" outlineLevel="0" collapsed="false"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customFormat="false" ht="15.75" hidden="false" customHeight="true" outlineLevel="0" collapsed="false"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customFormat="false" ht="15.75" hidden="false" customHeight="true" outlineLevel="0" collapsed="false"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customFormat="false" ht="15.75" hidden="false" customHeight="true" outlineLevel="0" collapsed="false"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customFormat="false" ht="15.75" hidden="false" customHeight="true" outlineLevel="0" collapsed="false"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customFormat="false" ht="15.75" hidden="false" customHeight="true" outlineLevel="0" collapsed="false"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customFormat="false" ht="15.75" hidden="false" customHeight="true" outlineLevel="0" collapsed="false"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customFormat="false" ht="15.75" hidden="false" customHeight="true" outlineLevel="0" collapsed="false"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customFormat="false" ht="15.75" hidden="false" customHeight="true" outlineLevel="0" collapsed="false"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customFormat="false" ht="15.75" hidden="false" customHeight="true" outlineLevel="0" collapsed="false"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customFormat="false" ht="15.75" hidden="false" customHeight="true" outlineLevel="0" collapsed="false"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customFormat="false" ht="15.75" hidden="false" customHeight="true" outlineLevel="0" collapsed="false"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customFormat="false" ht="15.75" hidden="false" customHeight="true" outlineLevel="0" collapsed="false"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customFormat="false" ht="15.75" hidden="false" customHeight="true" outlineLevel="0" collapsed="false"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customFormat="false" ht="15.75" hidden="false" customHeight="true" outlineLevel="0" collapsed="false"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customFormat="false" ht="15.75" hidden="false" customHeight="true" outlineLevel="0" collapsed="false"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customFormat="false" ht="15.75" hidden="false" customHeight="true" outlineLevel="0" collapsed="false"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customFormat="false" ht="15.75" hidden="false" customHeight="true" outlineLevel="0" collapsed="false"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customFormat="false" ht="15.75" hidden="false" customHeight="true" outlineLevel="0" collapsed="false"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customFormat="false" ht="15.75" hidden="false" customHeight="true" outlineLevel="0" collapsed="false"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customFormat="false" ht="15.75" hidden="false" customHeight="true" outlineLevel="0" collapsed="false"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customFormat="false" ht="15.75" hidden="false" customHeight="true" outlineLevel="0" collapsed="false"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customFormat="false" ht="15.75" hidden="false" customHeight="true" outlineLevel="0" collapsed="false"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customFormat="false" ht="15.75" hidden="false" customHeight="true" outlineLevel="0" collapsed="false"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customFormat="false" ht="15.75" hidden="false" customHeight="true" outlineLevel="0" collapsed="false"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customFormat="false" ht="15.75" hidden="false" customHeight="true" outlineLevel="0" collapsed="false"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customFormat="false" ht="15.75" hidden="false" customHeight="true" outlineLevel="0" collapsed="false"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customFormat="false" ht="15.75" hidden="false" customHeight="true" outlineLevel="0" collapsed="false"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customFormat="false" ht="15.75" hidden="false" customHeight="true" outlineLevel="0" collapsed="false"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customFormat="false" ht="15.75" hidden="false" customHeight="true" outlineLevel="0" collapsed="false"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customFormat="false" ht="15.75" hidden="false" customHeight="true" outlineLevel="0" collapsed="false"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customFormat="false" ht="15.75" hidden="false" customHeight="true" outlineLevel="0" collapsed="false"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customFormat="false" ht="15.75" hidden="false" customHeight="true" outlineLevel="0" collapsed="false"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customFormat="false" ht="15.75" hidden="false" customHeight="true" outlineLevel="0" collapsed="false"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customFormat="false" ht="15.75" hidden="false" customHeight="true" outlineLevel="0" collapsed="false"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customFormat="false" ht="15.75" hidden="false" customHeight="true" outlineLevel="0" collapsed="false"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customFormat="false" ht="15.75" hidden="false" customHeight="true" outlineLevel="0" collapsed="false"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customFormat="false" ht="15.75" hidden="false" customHeight="true" outlineLevel="0" collapsed="false"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customFormat="false" ht="15.75" hidden="false" customHeight="true" outlineLevel="0" collapsed="false"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customFormat="false" ht="15.75" hidden="false" customHeight="true" outlineLevel="0" collapsed="false"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customFormat="false" ht="15.75" hidden="false" customHeight="true" outlineLevel="0" collapsed="false"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customFormat="false" ht="15.75" hidden="false" customHeight="true" outlineLevel="0" collapsed="false"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customFormat="false" ht="15.75" hidden="false" customHeight="true" outlineLevel="0" collapsed="false"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customFormat="false" ht="15.75" hidden="false" customHeight="true" outlineLevel="0" collapsed="false"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customFormat="false" ht="15.75" hidden="false" customHeight="true" outlineLevel="0" collapsed="false"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customFormat="false" ht="15.75" hidden="false" customHeight="true" outlineLevel="0" collapsed="false"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customFormat="false" ht="15.75" hidden="false" customHeight="true" outlineLevel="0" collapsed="false"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customFormat="false" ht="15.75" hidden="false" customHeight="true" outlineLevel="0" collapsed="false"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customFormat="false" ht="15.75" hidden="false" customHeight="true" outlineLevel="0" collapsed="false"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customFormat="false" ht="15.75" hidden="false" customHeight="true" outlineLevel="0" collapsed="false"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customFormat="false" ht="15.75" hidden="false" customHeight="true" outlineLevel="0" collapsed="false"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customFormat="false" ht="15.75" hidden="false" customHeight="true" outlineLevel="0" collapsed="false"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customFormat="false" ht="15.75" hidden="false" customHeight="true" outlineLevel="0" collapsed="false"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customFormat="false" ht="15.75" hidden="false" customHeight="true" outlineLevel="0" collapsed="false"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customFormat="false" ht="15.75" hidden="false" customHeight="true" outlineLevel="0" collapsed="false"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customFormat="false" ht="15.75" hidden="false" customHeight="true" outlineLevel="0" collapsed="false"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customFormat="false" ht="15.75" hidden="false" customHeight="true" outlineLevel="0" collapsed="false"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customFormat="false" ht="15.75" hidden="false" customHeight="true" outlineLevel="0" collapsed="false"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customFormat="false" ht="15.75" hidden="false" customHeight="true" outlineLevel="0" collapsed="false"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customFormat="false" ht="15.75" hidden="false" customHeight="true" outlineLevel="0" collapsed="false"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customFormat="false" ht="15.75" hidden="false" customHeight="true" outlineLevel="0" collapsed="false"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customFormat="false" ht="15.75" hidden="false" customHeight="true" outlineLevel="0" collapsed="false"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customFormat="false" ht="15.75" hidden="false" customHeight="true" outlineLevel="0" collapsed="false"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customFormat="false" ht="15.75" hidden="false" customHeight="true" outlineLevel="0" collapsed="false"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customFormat="false" ht="15.75" hidden="false" customHeight="true" outlineLevel="0" collapsed="false"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customFormat="false" ht="15.75" hidden="false" customHeight="true" outlineLevel="0" collapsed="false"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customFormat="false" ht="15.75" hidden="false" customHeight="true" outlineLevel="0" collapsed="false"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customFormat="false" ht="15.75" hidden="false" customHeight="true" outlineLevel="0" collapsed="false"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customFormat="false" ht="15.75" hidden="false" customHeight="true" outlineLevel="0" collapsed="false"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customFormat="false" ht="15.75" hidden="false" customHeight="true" outlineLevel="0" collapsed="false"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customFormat="false" ht="15.75" hidden="false" customHeight="true" outlineLevel="0" collapsed="false"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customFormat="false" ht="15.75" hidden="false" customHeight="true" outlineLevel="0" collapsed="false"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customFormat="false" ht="15.75" hidden="false" customHeight="true" outlineLevel="0" collapsed="false"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customFormat="false" ht="15.75" hidden="false" customHeight="true" outlineLevel="0" collapsed="false"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customFormat="false" ht="15.75" hidden="false" customHeight="true" outlineLevel="0" collapsed="false"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customFormat="false" ht="15.75" hidden="false" customHeight="true" outlineLevel="0" collapsed="false"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customFormat="false" ht="15.75" hidden="false" customHeight="true" outlineLevel="0" collapsed="false"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customFormat="false" ht="15.75" hidden="false" customHeight="true" outlineLevel="0" collapsed="false"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customFormat="false" ht="15.75" hidden="false" customHeight="true" outlineLevel="0" collapsed="false"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customFormat="false" ht="15.75" hidden="false" customHeight="true" outlineLevel="0" collapsed="false"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customFormat="false" ht="15.75" hidden="false" customHeight="true" outlineLevel="0" collapsed="false"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customFormat="false" ht="15.75" hidden="false" customHeight="true" outlineLevel="0" collapsed="false"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customFormat="false" ht="15.75" hidden="false" customHeight="true" outlineLevel="0" collapsed="false"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customFormat="false" ht="15.75" hidden="false" customHeight="true" outlineLevel="0" collapsed="false"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customFormat="false" ht="15.75" hidden="false" customHeight="true" outlineLevel="0" collapsed="false"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customFormat="false" ht="15.75" hidden="false" customHeight="true" outlineLevel="0" collapsed="false"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customFormat="false" ht="15.75" hidden="false" customHeight="true" outlineLevel="0" collapsed="false"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customFormat="false" ht="15.75" hidden="false" customHeight="true" outlineLevel="0" collapsed="false"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customFormat="false" ht="15.75" hidden="false" customHeight="true" outlineLevel="0" collapsed="false"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customFormat="false" ht="15.75" hidden="false" customHeight="true" outlineLevel="0" collapsed="false"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customFormat="false" ht="15.75" hidden="false" customHeight="true" outlineLevel="0" collapsed="false"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customFormat="false" ht="15.75" hidden="false" customHeight="true" outlineLevel="0" collapsed="false"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customFormat="false" ht="15.75" hidden="false" customHeight="true" outlineLevel="0" collapsed="false"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customFormat="false" ht="15.75" hidden="false" customHeight="true" outlineLevel="0" collapsed="false"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customFormat="false" ht="15.75" hidden="false" customHeight="true" outlineLevel="0" collapsed="false"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customFormat="false" ht="15.75" hidden="false" customHeight="true" outlineLevel="0" collapsed="false"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customFormat="false" ht="15.75" hidden="false" customHeight="true" outlineLevel="0" collapsed="false"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customFormat="false" ht="15.75" hidden="false" customHeight="true" outlineLevel="0" collapsed="false"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customFormat="false" ht="15.75" hidden="false" customHeight="true" outlineLevel="0" collapsed="false"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customFormat="false" ht="15.75" hidden="false" customHeight="true" outlineLevel="0" collapsed="false"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customFormat="false" ht="15.75" hidden="false" customHeight="true" outlineLevel="0" collapsed="false"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customFormat="false" ht="15.75" hidden="false" customHeight="true" outlineLevel="0" collapsed="false"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customFormat="false" ht="15.75" hidden="false" customHeight="true" outlineLevel="0" collapsed="false"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customFormat="false" ht="15.75" hidden="false" customHeight="true" outlineLevel="0" collapsed="false"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customFormat="false" ht="15.75" hidden="false" customHeight="true" outlineLevel="0" collapsed="false"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customFormat="false" ht="15.75" hidden="false" customHeight="true" outlineLevel="0" collapsed="false"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customFormat="false" ht="15.75" hidden="false" customHeight="true" outlineLevel="0" collapsed="false"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customFormat="false" ht="15.75" hidden="false" customHeight="true" outlineLevel="0" collapsed="false"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customFormat="false" ht="15.75" hidden="false" customHeight="true" outlineLevel="0" collapsed="false"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  <row r="1003" customFormat="false" ht="15.75" hidden="false" customHeight="true" outlineLevel="0" collapsed="false"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</row>
    <row r="1004" customFormat="false" ht="15.75" hidden="false" customHeight="true" outlineLevel="0" collapsed="false"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</row>
    <row r="1005" customFormat="false" ht="15.75" hidden="false" customHeight="true" outlineLevel="0" collapsed="false"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</row>
    <row r="1006" customFormat="false" ht="15.75" hidden="false" customHeight="true" outlineLevel="0" collapsed="false"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</row>
    <row r="1007" customFormat="false" ht="15.75" hidden="false" customHeight="true" outlineLevel="0" collapsed="false"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</row>
    <row r="1008" customFormat="false" ht="15.75" hidden="false" customHeight="true" outlineLevel="0" collapsed="false"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</row>
    <row r="1009" customFormat="false" ht="15.75" hidden="false" customHeight="true" outlineLevel="0" collapsed="false"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</row>
    <row r="1010" customFormat="false" ht="15.75" hidden="false" customHeight="true" outlineLevel="0" collapsed="false"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</row>
    <row r="1011" customFormat="false" ht="15.75" hidden="false" customHeight="true" outlineLevel="0" collapsed="false"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</row>
    <row r="1012" customFormat="false" ht="15.75" hidden="false" customHeight="true" outlineLevel="0" collapsed="false"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</row>
    <row r="1013" customFormat="false" ht="15.75" hidden="false" customHeight="true" outlineLevel="0" collapsed="false"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</row>
    <row r="1014" customFormat="false" ht="15.75" hidden="false" customHeight="true" outlineLevel="0" collapsed="false"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</row>
    <row r="1015" customFormat="false" ht="15.75" hidden="false" customHeight="true" outlineLevel="0" collapsed="false"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</row>
    <row r="1016" customFormat="false" ht="15.75" hidden="false" customHeight="true" outlineLevel="0" collapsed="false"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</row>
    <row r="1017" customFormat="false" ht="15.75" hidden="false" customHeight="true" outlineLevel="0" collapsed="false"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customFormat="false" ht="15.75" hidden="false" customHeight="true" outlineLevel="0" collapsed="false"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</row>
    <row r="1019" customFormat="false" ht="15.75" hidden="false" customHeight="true" outlineLevel="0" collapsed="false"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</row>
    <row r="1020" customFormat="false" ht="15.75" hidden="false" customHeight="true" outlineLevel="0" collapsed="false"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</row>
    <row r="1021" customFormat="false" ht="15.75" hidden="false" customHeight="true" outlineLevel="0" collapsed="false"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</row>
    <row r="1022" customFormat="false" ht="15.75" hidden="false" customHeight="true" outlineLevel="0" collapsed="false"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</row>
    <row r="1023" customFormat="false" ht="15.75" hidden="false" customHeight="true" outlineLevel="0" collapsed="false"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</row>
    <row r="1024" customFormat="false" ht="15.75" hidden="false" customHeight="true" outlineLevel="0" collapsed="false"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</row>
    <row r="1025" customFormat="false" ht="15.75" hidden="false" customHeight="true" outlineLevel="0" collapsed="false"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</row>
    <row r="1026" customFormat="false" ht="15.75" hidden="false" customHeight="true" outlineLevel="0" collapsed="false"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</row>
    <row r="1027" customFormat="false" ht="15.75" hidden="false" customHeight="true" outlineLevel="0" collapsed="false"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</row>
    <row r="1028" customFormat="false" ht="15.75" hidden="false" customHeight="true" outlineLevel="0" collapsed="false"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</row>
    <row r="1029" customFormat="false" ht="15.75" hidden="false" customHeight="true" outlineLevel="0" collapsed="false"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</row>
    <row r="1030" customFormat="false" ht="15.75" hidden="false" customHeight="true" outlineLevel="0" collapsed="false"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</row>
    <row r="1031" customFormat="false" ht="15.75" hidden="false" customHeight="true" outlineLevel="0" collapsed="false"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</row>
    <row r="1032" customFormat="false" ht="15.75" hidden="false" customHeight="true" outlineLevel="0" collapsed="false"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</row>
    <row r="1033" customFormat="false" ht="15.75" hidden="false" customHeight="true" outlineLevel="0" collapsed="false"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</row>
    <row r="1034" customFormat="false" ht="15.75" hidden="false" customHeight="true" outlineLevel="0" collapsed="false"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</row>
    <row r="1035" customFormat="false" ht="15.75" hidden="false" customHeight="true" outlineLevel="0" collapsed="false"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</row>
    <row r="1036" customFormat="false" ht="15.75" hidden="false" customHeight="true" outlineLevel="0" collapsed="false"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</row>
    <row r="1037" customFormat="false" ht="15.75" hidden="false" customHeight="true" outlineLevel="0" collapsed="false"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</row>
    <row r="1038" customFormat="false" ht="15.75" hidden="false" customHeight="true" outlineLevel="0" collapsed="false"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</row>
    <row r="1039" customFormat="false" ht="15.75" hidden="false" customHeight="true" outlineLevel="0" collapsed="false"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</row>
    <row r="1040" customFormat="false" ht="15.75" hidden="false" customHeight="true" outlineLevel="0" collapsed="false"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</row>
    <row r="1041" customFormat="false" ht="15.75" hidden="false" customHeight="true" outlineLevel="0" collapsed="false"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</row>
    <row r="1042" customFormat="false" ht="15.75" hidden="false" customHeight="true" outlineLevel="0" collapsed="false"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</row>
    <row r="1043" customFormat="false" ht="15.75" hidden="false" customHeight="true" outlineLevel="0" collapsed="false"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</row>
    <row r="1044" customFormat="false" ht="15.75" hidden="false" customHeight="true" outlineLevel="0" collapsed="false"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</row>
    <row r="1045" customFormat="false" ht="15.75" hidden="false" customHeight="true" outlineLevel="0" collapsed="false"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</row>
    <row r="1046" customFormat="false" ht="15.75" hidden="false" customHeight="true" outlineLevel="0" collapsed="false"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</row>
    <row r="1047" customFormat="false" ht="15.75" hidden="false" customHeight="true" outlineLevel="0" collapsed="false"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</row>
    <row r="1048" customFormat="false" ht="15.75" hidden="false" customHeight="true" outlineLevel="0" collapsed="false"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</row>
    <row r="1049" customFormat="false" ht="15.75" hidden="false" customHeight="true" outlineLevel="0" collapsed="false"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</row>
    <row r="1050" customFormat="false" ht="15.75" hidden="false" customHeight="true" outlineLevel="0" collapsed="false"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</row>
    <row r="1051" customFormat="false" ht="15.75" hidden="false" customHeight="true" outlineLevel="0" collapsed="false"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</row>
    <row r="1052" customFormat="false" ht="15.75" hidden="false" customHeight="true" outlineLevel="0" collapsed="false"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</row>
    <row r="1053" customFormat="false" ht="15.75" hidden="false" customHeight="true" outlineLevel="0" collapsed="false"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</row>
    <row r="1054" customFormat="false" ht="15.75" hidden="false" customHeight="true" outlineLevel="0" collapsed="false"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</row>
    <row r="1055" customFormat="false" ht="15.75" hidden="false" customHeight="true" outlineLevel="0" collapsed="false"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</row>
    <row r="1056" customFormat="false" ht="15.75" hidden="false" customHeight="true" outlineLevel="0" collapsed="false"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</row>
    <row r="1057" customFormat="false" ht="15.75" hidden="false" customHeight="true" outlineLevel="0" collapsed="false"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</row>
    <row r="1058" customFormat="false" ht="15.75" hidden="false" customHeight="true" outlineLevel="0" collapsed="false"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</row>
    <row r="1059" customFormat="false" ht="15.75" hidden="false" customHeight="true" outlineLevel="0" collapsed="false"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</row>
    <row r="1060" customFormat="false" ht="15.75" hidden="false" customHeight="true" outlineLevel="0" collapsed="false"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</row>
    <row r="1061" customFormat="false" ht="15.75" hidden="false" customHeight="true" outlineLevel="0" collapsed="false"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</row>
    <row r="1062" customFormat="false" ht="15.75" hidden="false" customHeight="true" outlineLevel="0" collapsed="false"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</row>
    <row r="1063" customFormat="false" ht="15.75" hidden="false" customHeight="true" outlineLevel="0" collapsed="false"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</row>
    <row r="1064" customFormat="false" ht="15.75" hidden="false" customHeight="true" outlineLevel="0" collapsed="false"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</row>
    <row r="1065" customFormat="false" ht="15.75" hidden="false" customHeight="true" outlineLevel="0" collapsed="false"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</row>
    <row r="1066" customFormat="false" ht="15.75" hidden="false" customHeight="true" outlineLevel="0" collapsed="false"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</row>
    <row r="1067" customFormat="false" ht="15.75" hidden="false" customHeight="true" outlineLevel="0" collapsed="false"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</row>
    <row r="1068" customFormat="false" ht="15.75" hidden="false" customHeight="true" outlineLevel="0" collapsed="false"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</row>
    <row r="1069" customFormat="false" ht="15.75" hidden="false" customHeight="true" outlineLevel="0" collapsed="false"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</row>
    <row r="1070" customFormat="false" ht="15.75" hidden="false" customHeight="true" outlineLevel="0" collapsed="false"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</row>
    <row r="1071" customFormat="false" ht="15.75" hidden="false" customHeight="true" outlineLevel="0" collapsed="false"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</row>
    <row r="1072" customFormat="false" ht="15.75" hidden="false" customHeight="true" outlineLevel="0" collapsed="false"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</row>
    <row r="1073" customFormat="false" ht="15.75" hidden="false" customHeight="true" outlineLevel="0" collapsed="false"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</row>
    <row r="1074" customFormat="false" ht="15.75" hidden="false" customHeight="true" outlineLevel="0" collapsed="false"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</row>
    <row r="1075" customFormat="false" ht="15.75" hidden="false" customHeight="true" outlineLevel="0" collapsed="false"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</row>
    <row r="1076" customFormat="false" ht="15.75" hidden="false" customHeight="true" outlineLevel="0" collapsed="false"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</row>
    <row r="1077" customFormat="false" ht="15.75" hidden="false" customHeight="true" outlineLevel="0" collapsed="false"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</row>
    <row r="1078" customFormat="false" ht="15.75" hidden="false" customHeight="true" outlineLevel="0" collapsed="false"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</row>
    <row r="1079" customFormat="false" ht="15.75" hidden="false" customHeight="true" outlineLevel="0" collapsed="false"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</row>
    <row r="1080" customFormat="false" ht="15.75" hidden="false" customHeight="true" outlineLevel="0" collapsed="false"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</row>
    <row r="1081" customFormat="false" ht="15.75" hidden="false" customHeight="true" outlineLevel="0" collapsed="false"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</row>
    <row r="1082" customFormat="false" ht="15.75" hidden="false" customHeight="true" outlineLevel="0" collapsed="false"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</row>
    <row r="1083" customFormat="false" ht="15.75" hidden="false" customHeight="true" outlineLevel="0" collapsed="false"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</row>
    <row r="1084" customFormat="false" ht="15.75" hidden="false" customHeight="true" outlineLevel="0" collapsed="false"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</row>
    <row r="1085" customFormat="false" ht="15.75" hidden="false" customHeight="true" outlineLevel="0" collapsed="false"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</row>
    <row r="1086" customFormat="false" ht="15.75" hidden="false" customHeight="true" outlineLevel="0" collapsed="false"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</row>
    <row r="1087" customFormat="false" ht="15.75" hidden="false" customHeight="true" outlineLevel="0" collapsed="false"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</row>
    <row r="1088" customFormat="false" ht="15.75" hidden="false" customHeight="true" outlineLevel="0" collapsed="false"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</row>
    <row r="1089" customFormat="false" ht="15.75" hidden="false" customHeight="true" outlineLevel="0" collapsed="false"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</row>
    <row r="1090" customFormat="false" ht="15.75" hidden="false" customHeight="true" outlineLevel="0" collapsed="false"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</row>
    <row r="1091" customFormat="false" ht="15.75" hidden="false" customHeight="true" outlineLevel="0" collapsed="false"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</row>
    <row r="1092" customFormat="false" ht="15.75" hidden="false" customHeight="true" outlineLevel="0" collapsed="false"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</row>
    <row r="1093" customFormat="false" ht="15.75" hidden="false" customHeight="true" outlineLevel="0" collapsed="false"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</row>
    <row r="1094" customFormat="false" ht="15.75" hidden="false" customHeight="true" outlineLevel="0" collapsed="false"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</row>
    <row r="1095" customFormat="false" ht="15.75" hidden="false" customHeight="true" outlineLevel="0" collapsed="false"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</row>
    <row r="1096" customFormat="false" ht="15.75" hidden="false" customHeight="true" outlineLevel="0" collapsed="false"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</row>
    <row r="1097" customFormat="false" ht="15.75" hidden="false" customHeight="true" outlineLevel="0" collapsed="false"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</row>
    <row r="1098" customFormat="false" ht="15.75" hidden="false" customHeight="true" outlineLevel="0" collapsed="false"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</row>
    <row r="1099" customFormat="false" ht="15.75" hidden="false" customHeight="true" outlineLevel="0" collapsed="false"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</row>
    <row r="1100" customFormat="false" ht="15.75" hidden="false" customHeight="true" outlineLevel="0" collapsed="false"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</row>
    <row r="1101" customFormat="false" ht="15.75" hidden="false" customHeight="true" outlineLevel="0" collapsed="false"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</row>
    <row r="1102" customFormat="false" ht="15.75" hidden="false" customHeight="true" outlineLevel="0" collapsed="false"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</row>
    <row r="1103" customFormat="false" ht="15.75" hidden="false" customHeight="true" outlineLevel="0" collapsed="false"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</row>
    <row r="1104" customFormat="false" ht="15.75" hidden="false" customHeight="true" outlineLevel="0" collapsed="false"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</row>
    <row r="1105" customFormat="false" ht="15.75" hidden="false" customHeight="true" outlineLevel="0" collapsed="false"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</row>
    <row r="1106" customFormat="false" ht="15.75" hidden="false" customHeight="true" outlineLevel="0" collapsed="false"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</row>
    <row r="1107" customFormat="false" ht="15.75" hidden="false" customHeight="true" outlineLevel="0" collapsed="false"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</row>
    <row r="1108" customFormat="false" ht="15.75" hidden="false" customHeight="true" outlineLevel="0" collapsed="false"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</row>
    <row r="1109" customFormat="false" ht="15.75" hidden="false" customHeight="true" outlineLevel="0" collapsed="false"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</row>
    <row r="1110" customFormat="false" ht="15.75" hidden="false" customHeight="true" outlineLevel="0" collapsed="false"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</row>
    <row r="1111" customFormat="false" ht="15.75" hidden="false" customHeight="true" outlineLevel="0" collapsed="false"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</row>
    <row r="1112" customFormat="false" ht="15.75" hidden="false" customHeight="true" outlineLevel="0" collapsed="false"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</row>
    <row r="1113" customFormat="false" ht="15.75" hidden="false" customHeight="true" outlineLevel="0" collapsed="false"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</row>
    <row r="1114" customFormat="false" ht="15.75" hidden="false" customHeight="true" outlineLevel="0" collapsed="false"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</row>
    <row r="1115" customFormat="false" ht="15.75" hidden="false" customHeight="true" outlineLevel="0" collapsed="false"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</row>
    <row r="1116" customFormat="false" ht="15.75" hidden="false" customHeight="true" outlineLevel="0" collapsed="false"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</row>
    <row r="1117" customFormat="false" ht="15.75" hidden="false" customHeight="true" outlineLevel="0" collapsed="false"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</row>
    <row r="1118" customFormat="false" ht="15.75" hidden="false" customHeight="true" outlineLevel="0" collapsed="false"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</row>
    <row r="1119" customFormat="false" ht="15.75" hidden="false" customHeight="true" outlineLevel="0" collapsed="false"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</row>
    <row r="1120" customFormat="false" ht="15.75" hidden="false" customHeight="true" outlineLevel="0" collapsed="false"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</row>
    <row r="1121" customFormat="false" ht="15.75" hidden="false" customHeight="true" outlineLevel="0" collapsed="false"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</row>
    <row r="1122" customFormat="false" ht="15.75" hidden="false" customHeight="true" outlineLevel="0" collapsed="false"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</row>
    <row r="1123" customFormat="false" ht="15.75" hidden="false" customHeight="true" outlineLevel="0" collapsed="false"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</row>
    <row r="1124" customFormat="false" ht="15.75" hidden="false" customHeight="true" outlineLevel="0" collapsed="false"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</row>
    <row r="1125" customFormat="false" ht="15.75" hidden="false" customHeight="true" outlineLevel="0" collapsed="false"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</row>
    <row r="1126" customFormat="false" ht="15.75" hidden="false" customHeight="true" outlineLevel="0" collapsed="false"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</row>
    <row r="1127" customFormat="false" ht="15.75" hidden="false" customHeight="true" outlineLevel="0" collapsed="false"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</row>
    <row r="1128" customFormat="false" ht="15.75" hidden="false" customHeight="true" outlineLevel="0" collapsed="false"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</row>
    <row r="1129" customFormat="false" ht="15.75" hidden="false" customHeight="true" outlineLevel="0" collapsed="false"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</row>
    <row r="1130" customFormat="false" ht="15.75" hidden="false" customHeight="true" outlineLevel="0" collapsed="false"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</row>
    <row r="1131" customFormat="false" ht="15.75" hidden="false" customHeight="true" outlineLevel="0" collapsed="false"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</row>
    <row r="1132" customFormat="false" ht="15.75" hidden="false" customHeight="true" outlineLevel="0" collapsed="false"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</row>
    <row r="1133" customFormat="false" ht="15.75" hidden="false" customHeight="true" outlineLevel="0" collapsed="false"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</row>
    <row r="1134" customFormat="false" ht="15.75" hidden="false" customHeight="true" outlineLevel="0" collapsed="false"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</row>
    <row r="1135" customFormat="false" ht="15.75" hidden="false" customHeight="true" outlineLevel="0" collapsed="false"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</row>
    <row r="1136" customFormat="false" ht="15.75" hidden="false" customHeight="true" outlineLevel="0" collapsed="false"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</row>
    <row r="1137" customFormat="false" ht="15.75" hidden="false" customHeight="true" outlineLevel="0" collapsed="false"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</row>
    <row r="1138" customFormat="false" ht="15.75" hidden="false" customHeight="true" outlineLevel="0" collapsed="false"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</row>
    <row r="1139" customFormat="false" ht="15.75" hidden="false" customHeight="true" outlineLevel="0" collapsed="false"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</row>
    <row r="1140" customFormat="false" ht="15.75" hidden="false" customHeight="true" outlineLevel="0" collapsed="false"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</row>
    <row r="1141" customFormat="false" ht="15.75" hidden="false" customHeight="true" outlineLevel="0" collapsed="false"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</row>
    <row r="1142" customFormat="false" ht="15.75" hidden="false" customHeight="true" outlineLevel="0" collapsed="false"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</row>
    <row r="1143" customFormat="false" ht="15.75" hidden="false" customHeight="true" outlineLevel="0" collapsed="false"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</row>
    <row r="1144" customFormat="false" ht="15.75" hidden="false" customHeight="true" outlineLevel="0" collapsed="false"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</row>
    <row r="1145" customFormat="false" ht="15.75" hidden="false" customHeight="true" outlineLevel="0" collapsed="false"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</row>
    <row r="1146" customFormat="false" ht="15.75" hidden="false" customHeight="true" outlineLevel="0" collapsed="false"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</row>
    <row r="1147" customFormat="false" ht="15.75" hidden="false" customHeight="true" outlineLevel="0" collapsed="false"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</row>
    <row r="1148" customFormat="false" ht="15.75" hidden="false" customHeight="true" outlineLevel="0" collapsed="false"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</row>
    <row r="1149" customFormat="false" ht="15.75" hidden="false" customHeight="true" outlineLevel="0" collapsed="false"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</row>
    <row r="1150" customFormat="false" ht="15.75" hidden="false" customHeight="true" outlineLevel="0" collapsed="false"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</row>
    <row r="1151" customFormat="false" ht="15.75" hidden="false" customHeight="true" outlineLevel="0" collapsed="false"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</row>
    <row r="1152" customFormat="false" ht="15.75" hidden="false" customHeight="true" outlineLevel="0" collapsed="false"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</row>
    <row r="1153" customFormat="false" ht="15.75" hidden="false" customHeight="true" outlineLevel="0" collapsed="false"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</row>
    <row r="1154" customFormat="false" ht="15.75" hidden="false" customHeight="true" outlineLevel="0" collapsed="false"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</row>
    <row r="1155" customFormat="false" ht="15.75" hidden="false" customHeight="true" outlineLevel="0" collapsed="false"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</row>
    <row r="1156" customFormat="false" ht="15.75" hidden="false" customHeight="true" outlineLevel="0" collapsed="false"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</row>
    <row r="1157" customFormat="false" ht="15.75" hidden="false" customHeight="true" outlineLevel="0" collapsed="false"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</row>
    <row r="1158" customFormat="false" ht="15.75" hidden="false" customHeight="true" outlineLevel="0" collapsed="false"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</row>
    <row r="1159" customFormat="false" ht="15.75" hidden="false" customHeight="true" outlineLevel="0" collapsed="false"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</row>
    <row r="1160" customFormat="false" ht="15.75" hidden="false" customHeight="true" outlineLevel="0" collapsed="false"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</row>
    <row r="1161" customFormat="false" ht="15.75" hidden="false" customHeight="true" outlineLevel="0" collapsed="false"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</row>
    <row r="1162" customFormat="false" ht="15.75" hidden="false" customHeight="true" outlineLevel="0" collapsed="false"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</row>
    <row r="1163" customFormat="false" ht="15.75" hidden="false" customHeight="true" outlineLevel="0" collapsed="false"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</row>
    <row r="1164" customFormat="false" ht="15.75" hidden="false" customHeight="true" outlineLevel="0" collapsed="false"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</row>
    <row r="1165" customFormat="false" ht="15.75" hidden="false" customHeight="true" outlineLevel="0" collapsed="false"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</row>
    <row r="1166" customFormat="false" ht="15.75" hidden="false" customHeight="true" outlineLevel="0" collapsed="false"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</row>
    <row r="1167" customFormat="false" ht="15.75" hidden="false" customHeight="true" outlineLevel="0" collapsed="false"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</row>
    <row r="1168" customFormat="false" ht="15.75" hidden="false" customHeight="true" outlineLevel="0" collapsed="false"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</row>
    <row r="1169" customFormat="false" ht="15.75" hidden="false" customHeight="true" outlineLevel="0" collapsed="false"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</row>
    <row r="1170" customFormat="false" ht="15.75" hidden="false" customHeight="true" outlineLevel="0" collapsed="false"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</row>
    <row r="1171" customFormat="false" ht="15.75" hidden="false" customHeight="true" outlineLevel="0" collapsed="false"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</row>
    <row r="1172" customFormat="false" ht="15.75" hidden="false" customHeight="true" outlineLevel="0" collapsed="false"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</row>
    <row r="1173" customFormat="false" ht="15.75" hidden="false" customHeight="true" outlineLevel="0" collapsed="false"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</row>
    <row r="1174" customFormat="false" ht="15.75" hidden="false" customHeight="true" outlineLevel="0" collapsed="false"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</row>
    <row r="1175" customFormat="false" ht="15.75" hidden="false" customHeight="true" outlineLevel="0" collapsed="false"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</row>
    <row r="1176" customFormat="false" ht="15.75" hidden="false" customHeight="true" outlineLevel="0" collapsed="false"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</row>
    <row r="1177" customFormat="false" ht="15.75" hidden="false" customHeight="true" outlineLevel="0" collapsed="false"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</row>
    <row r="1178" customFormat="false" ht="15.75" hidden="false" customHeight="true" outlineLevel="0" collapsed="false"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</row>
    <row r="1179" customFormat="false" ht="15.75" hidden="false" customHeight="true" outlineLevel="0" collapsed="false"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</row>
    <row r="1180" customFormat="false" ht="15.75" hidden="false" customHeight="true" outlineLevel="0" collapsed="false"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</row>
    <row r="1181" customFormat="false" ht="15.75" hidden="false" customHeight="true" outlineLevel="0" collapsed="false"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</row>
    <row r="1182" customFormat="false" ht="15.75" hidden="false" customHeight="true" outlineLevel="0" collapsed="false"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</row>
    <row r="1183" customFormat="false" ht="15.75" hidden="false" customHeight="true" outlineLevel="0" collapsed="false"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</row>
    <row r="1184" customFormat="false" ht="15.75" hidden="false" customHeight="true" outlineLevel="0" collapsed="false"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</row>
    <row r="1185" customFormat="false" ht="15.75" hidden="false" customHeight="true" outlineLevel="0" collapsed="false"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</row>
    <row r="1186" customFormat="false" ht="15.75" hidden="false" customHeight="true" outlineLevel="0" collapsed="false"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</row>
    <row r="1187" customFormat="false" ht="15.75" hidden="false" customHeight="true" outlineLevel="0" collapsed="false"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</row>
    <row r="1188" customFormat="false" ht="15.75" hidden="false" customHeight="true" outlineLevel="0" collapsed="false"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</row>
    <row r="1189" customFormat="false" ht="15.75" hidden="false" customHeight="true" outlineLevel="0" collapsed="false"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</row>
    <row r="1190" customFormat="false" ht="15.75" hidden="false" customHeight="true" outlineLevel="0" collapsed="false"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</row>
    <row r="1191" customFormat="false" ht="15.75" hidden="false" customHeight="true" outlineLevel="0" collapsed="false"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</row>
    <row r="1192" customFormat="false" ht="15.75" hidden="false" customHeight="true" outlineLevel="0" collapsed="false"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</row>
    <row r="1193" customFormat="false" ht="15.75" hidden="false" customHeight="true" outlineLevel="0" collapsed="false"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</row>
    <row r="1194" customFormat="false" ht="15.75" hidden="false" customHeight="true" outlineLevel="0" collapsed="false"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</row>
    <row r="1195" customFormat="false" ht="15.75" hidden="false" customHeight="true" outlineLevel="0" collapsed="false"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</row>
    <row r="1196" customFormat="false" ht="15.75" hidden="false" customHeight="true" outlineLevel="0" collapsed="false"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</row>
    <row r="1197" customFormat="false" ht="15.75" hidden="false" customHeight="true" outlineLevel="0" collapsed="false"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</row>
    <row r="1198" customFormat="false" ht="15.75" hidden="false" customHeight="true" outlineLevel="0" collapsed="false"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</row>
    <row r="1199" customFormat="false" ht="15.75" hidden="false" customHeight="true" outlineLevel="0" collapsed="false"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</row>
    <row r="1200" customFormat="false" ht="15.75" hidden="false" customHeight="true" outlineLevel="0" collapsed="false"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</row>
    <row r="1201" customFormat="false" ht="15.75" hidden="false" customHeight="true" outlineLevel="0" collapsed="false"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</row>
    <row r="1202" customFormat="false" ht="15.75" hidden="false" customHeight="true" outlineLevel="0" collapsed="false"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</row>
    <row r="1203" customFormat="false" ht="15.75" hidden="false" customHeight="true" outlineLevel="0" collapsed="false"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</row>
    <row r="1204" customFormat="false" ht="15.75" hidden="false" customHeight="true" outlineLevel="0" collapsed="false"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</row>
    <row r="1205" customFormat="false" ht="15.75" hidden="false" customHeight="true" outlineLevel="0" collapsed="false"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</row>
    <row r="1206" customFormat="false" ht="15.75" hidden="false" customHeight="true" outlineLevel="0" collapsed="false"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</row>
    <row r="1207" customFormat="false" ht="15.75" hidden="false" customHeight="true" outlineLevel="0" collapsed="false"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</row>
    <row r="1208" customFormat="false" ht="15.75" hidden="false" customHeight="true" outlineLevel="0" collapsed="false"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</row>
    <row r="1209" customFormat="false" ht="15.75" hidden="false" customHeight="true" outlineLevel="0" collapsed="false"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</row>
    <row r="1210" customFormat="false" ht="15.75" hidden="false" customHeight="true" outlineLevel="0" collapsed="false"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</row>
    <row r="1211" customFormat="false" ht="15.75" hidden="false" customHeight="true" outlineLevel="0" collapsed="false"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</row>
    <row r="1212" customFormat="false" ht="15.75" hidden="false" customHeight="true" outlineLevel="0" collapsed="false"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</row>
    <row r="1213" customFormat="false" ht="15.75" hidden="false" customHeight="true" outlineLevel="0" collapsed="false"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</row>
    <row r="1214" customFormat="false" ht="15.75" hidden="false" customHeight="true" outlineLevel="0" collapsed="false"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</row>
    <row r="1215" customFormat="false" ht="15.75" hidden="false" customHeight="true" outlineLevel="0" collapsed="false"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</row>
    <row r="1216" customFormat="false" ht="15.75" hidden="false" customHeight="true" outlineLevel="0" collapsed="false"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</row>
    <row r="1217" customFormat="false" ht="15.75" hidden="false" customHeight="true" outlineLevel="0" collapsed="false"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</row>
    <row r="1218" customFormat="false" ht="15.75" hidden="false" customHeight="true" outlineLevel="0" collapsed="false"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</row>
    <row r="1219" customFormat="false" ht="15.75" hidden="false" customHeight="true" outlineLevel="0" collapsed="false"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</row>
    <row r="1220" customFormat="false" ht="15.75" hidden="false" customHeight="true" outlineLevel="0" collapsed="false"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</row>
    <row r="1221" customFormat="false" ht="15.75" hidden="false" customHeight="true" outlineLevel="0" collapsed="false"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</row>
    <row r="1222" customFormat="false" ht="15.75" hidden="false" customHeight="true" outlineLevel="0" collapsed="false"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</row>
    <row r="1223" customFormat="false" ht="15.75" hidden="false" customHeight="true" outlineLevel="0" collapsed="false"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</row>
    <row r="1224" customFormat="false" ht="15.75" hidden="false" customHeight="true" outlineLevel="0" collapsed="false"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</row>
    <row r="1225" customFormat="false" ht="15.75" hidden="false" customHeight="true" outlineLevel="0" collapsed="false"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</row>
    <row r="1226" customFormat="false" ht="15.75" hidden="false" customHeight="true" outlineLevel="0" collapsed="false"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</row>
    <row r="1227" customFormat="false" ht="15.75" hidden="false" customHeight="true" outlineLevel="0" collapsed="false"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</row>
    <row r="1228" customFormat="false" ht="15.75" hidden="false" customHeight="true" outlineLevel="0" collapsed="false"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</row>
    <row r="1229" customFormat="false" ht="15.75" hidden="false" customHeight="true" outlineLevel="0" collapsed="false"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</row>
    <row r="1230" customFormat="false" ht="15.75" hidden="false" customHeight="true" outlineLevel="0" collapsed="false"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</row>
    <row r="1231" customFormat="false" ht="15.75" hidden="false" customHeight="true" outlineLevel="0" collapsed="false"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</row>
    <row r="1232" customFormat="false" ht="15.75" hidden="false" customHeight="true" outlineLevel="0" collapsed="false"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</row>
    <row r="1233" customFormat="false" ht="15.75" hidden="false" customHeight="true" outlineLevel="0" collapsed="false"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</row>
    <row r="1234" customFormat="false" ht="15.75" hidden="false" customHeight="true" outlineLevel="0" collapsed="false"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</row>
    <row r="1235" customFormat="false" ht="15.75" hidden="false" customHeight="true" outlineLevel="0" collapsed="false"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</row>
    <row r="1236" customFormat="false" ht="15.75" hidden="false" customHeight="true" outlineLevel="0" collapsed="false"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</row>
    <row r="1237" customFormat="false" ht="15.75" hidden="false" customHeight="true" outlineLevel="0" collapsed="false"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</row>
    <row r="1238" customFormat="false" ht="15.75" hidden="false" customHeight="true" outlineLevel="0" collapsed="false"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</row>
    <row r="1239" customFormat="false" ht="15.75" hidden="false" customHeight="true" outlineLevel="0" collapsed="false"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</row>
    <row r="1240" customFormat="false" ht="15.75" hidden="false" customHeight="true" outlineLevel="0" collapsed="false"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</row>
    <row r="1241" customFormat="false" ht="15.75" hidden="false" customHeight="true" outlineLevel="0" collapsed="false"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</row>
    <row r="1242" customFormat="false" ht="15.75" hidden="false" customHeight="true" outlineLevel="0" collapsed="false"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</row>
    <row r="1243" customFormat="false" ht="15.75" hidden="false" customHeight="true" outlineLevel="0" collapsed="false"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</row>
    <row r="1244" customFormat="false" ht="15.75" hidden="false" customHeight="true" outlineLevel="0" collapsed="false"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</row>
    <row r="1245" customFormat="false" ht="15.75" hidden="false" customHeight="true" outlineLevel="0" collapsed="false"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</row>
    <row r="1246" customFormat="false" ht="15.75" hidden="false" customHeight="true" outlineLevel="0" collapsed="false"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</row>
    <row r="1247" customFormat="false" ht="15.75" hidden="false" customHeight="true" outlineLevel="0" collapsed="false"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</row>
    <row r="1248" customFormat="false" ht="15.75" hidden="false" customHeight="true" outlineLevel="0" collapsed="false"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</row>
    <row r="1249" customFormat="false" ht="15.75" hidden="false" customHeight="true" outlineLevel="0" collapsed="false"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</row>
    <row r="1250" customFormat="false" ht="15.75" hidden="false" customHeight="true" outlineLevel="0" collapsed="false"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</row>
    <row r="1251" customFormat="false" ht="15.75" hidden="false" customHeight="true" outlineLevel="0" collapsed="false"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</row>
    <row r="1252" customFormat="false" ht="15.75" hidden="false" customHeight="true" outlineLevel="0" collapsed="false"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</row>
    <row r="1253" customFormat="false" ht="15.75" hidden="false" customHeight="true" outlineLevel="0" collapsed="false"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</row>
    <row r="1254" customFormat="false" ht="15.75" hidden="false" customHeight="true" outlineLevel="0" collapsed="false"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</row>
    <row r="1255" customFormat="false" ht="15.75" hidden="false" customHeight="true" outlineLevel="0" collapsed="false"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</row>
    <row r="1256" customFormat="false" ht="15.75" hidden="false" customHeight="true" outlineLevel="0" collapsed="false"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</row>
    <row r="1257" customFormat="false" ht="15.75" hidden="false" customHeight="true" outlineLevel="0" collapsed="false"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</row>
    <row r="1258" customFormat="false" ht="15.75" hidden="false" customHeight="true" outlineLevel="0" collapsed="false"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</row>
    <row r="1259" customFormat="false" ht="15.75" hidden="false" customHeight="true" outlineLevel="0" collapsed="false"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</row>
    <row r="1260" customFormat="false" ht="15.75" hidden="false" customHeight="true" outlineLevel="0" collapsed="false"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</row>
    <row r="1261" customFormat="false" ht="15.75" hidden="false" customHeight="true" outlineLevel="0" collapsed="false"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</row>
    <row r="1262" customFormat="false" ht="15.75" hidden="false" customHeight="true" outlineLevel="0" collapsed="false"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</row>
    <row r="1263" customFormat="false" ht="15.75" hidden="false" customHeight="true" outlineLevel="0" collapsed="false"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</row>
    <row r="1264" customFormat="false" ht="15.75" hidden="false" customHeight="true" outlineLevel="0" collapsed="false"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</row>
    <row r="1265" customFormat="false" ht="15.75" hidden="false" customHeight="true" outlineLevel="0" collapsed="false"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</row>
    <row r="1266" customFormat="false" ht="15.75" hidden="false" customHeight="true" outlineLevel="0" collapsed="false"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</row>
    <row r="1267" customFormat="false" ht="15.75" hidden="false" customHeight="true" outlineLevel="0" collapsed="false"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</row>
    <row r="1268" customFormat="false" ht="15.75" hidden="false" customHeight="true" outlineLevel="0" collapsed="false"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</row>
    <row r="1269" customFormat="false" ht="15.75" hidden="false" customHeight="true" outlineLevel="0" collapsed="false"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</row>
    <row r="1270" customFormat="false" ht="15.75" hidden="false" customHeight="true" outlineLevel="0" collapsed="false"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</row>
    <row r="1271" customFormat="false" ht="15.75" hidden="false" customHeight="true" outlineLevel="0" collapsed="false"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</row>
    <row r="1272" customFormat="false" ht="15.75" hidden="false" customHeight="true" outlineLevel="0" collapsed="false"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</row>
    <row r="1273" customFormat="false" ht="15.75" hidden="false" customHeight="true" outlineLevel="0" collapsed="false"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</row>
    <row r="1274" customFormat="false" ht="15.75" hidden="false" customHeight="true" outlineLevel="0" collapsed="false"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</row>
    <row r="1275" customFormat="false" ht="15.75" hidden="false" customHeight="true" outlineLevel="0" collapsed="false"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</row>
    <row r="1276" customFormat="false" ht="15.75" hidden="false" customHeight="true" outlineLevel="0" collapsed="false"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</row>
    <row r="1277" customFormat="false" ht="15.75" hidden="false" customHeight="true" outlineLevel="0" collapsed="false"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</row>
    <row r="1278" customFormat="false" ht="15.75" hidden="false" customHeight="true" outlineLevel="0" collapsed="false"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</row>
    <row r="1279" customFormat="false" ht="15.75" hidden="false" customHeight="true" outlineLevel="0" collapsed="false"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</row>
    <row r="1280" customFormat="false" ht="15.75" hidden="false" customHeight="true" outlineLevel="0" collapsed="false"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</row>
    <row r="1281" customFormat="false" ht="15.75" hidden="false" customHeight="true" outlineLevel="0" collapsed="false"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</row>
    <row r="1282" customFormat="false" ht="15.75" hidden="false" customHeight="true" outlineLevel="0" collapsed="false"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</row>
    <row r="1283" customFormat="false" ht="15.75" hidden="false" customHeight="true" outlineLevel="0" collapsed="false"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</row>
    <row r="1284" customFormat="false" ht="15.75" hidden="false" customHeight="true" outlineLevel="0" collapsed="false"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</row>
    <row r="1285" customFormat="false" ht="15.75" hidden="false" customHeight="true" outlineLevel="0" collapsed="false"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</row>
    <row r="1286" customFormat="false" ht="15.75" hidden="false" customHeight="true" outlineLevel="0" collapsed="false"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</row>
    <row r="1287" customFormat="false" ht="15.75" hidden="false" customHeight="true" outlineLevel="0" collapsed="false"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</row>
    <row r="1288" customFormat="false" ht="15.75" hidden="false" customHeight="true" outlineLevel="0" collapsed="false"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</row>
    <row r="1289" customFormat="false" ht="15.75" hidden="false" customHeight="true" outlineLevel="0" collapsed="false"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</row>
    <row r="1290" customFormat="false" ht="15.75" hidden="false" customHeight="true" outlineLevel="0" collapsed="false"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</row>
    <row r="1291" customFormat="false" ht="15.75" hidden="false" customHeight="true" outlineLevel="0" collapsed="false"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</row>
    <row r="1292" customFormat="false" ht="15.75" hidden="false" customHeight="true" outlineLevel="0" collapsed="false"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</row>
    <row r="1293" customFormat="false" ht="15.75" hidden="false" customHeight="true" outlineLevel="0" collapsed="false"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</row>
    <row r="1294" customFormat="false" ht="15.75" hidden="false" customHeight="true" outlineLevel="0" collapsed="false"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</row>
    <row r="1295" customFormat="false" ht="15.75" hidden="false" customHeight="true" outlineLevel="0" collapsed="false"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</row>
    <row r="1296" customFormat="false" ht="15.75" hidden="false" customHeight="true" outlineLevel="0" collapsed="false"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</row>
    <row r="1297" customFormat="false" ht="15.75" hidden="false" customHeight="true" outlineLevel="0" collapsed="false"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</row>
    <row r="1298" customFormat="false" ht="15.75" hidden="false" customHeight="true" outlineLevel="0" collapsed="false"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</row>
    <row r="1299" customFormat="false" ht="15.75" hidden="false" customHeight="true" outlineLevel="0" collapsed="false"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</row>
    <row r="1300" customFormat="false" ht="15.75" hidden="false" customHeight="true" outlineLevel="0" collapsed="false"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</row>
    <row r="1301" customFormat="false" ht="15.75" hidden="false" customHeight="true" outlineLevel="0" collapsed="false"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</row>
    <row r="1302" customFormat="false" ht="15.75" hidden="false" customHeight="true" outlineLevel="0" collapsed="false"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</row>
    <row r="1303" customFormat="false" ht="15.75" hidden="false" customHeight="true" outlineLevel="0" collapsed="false"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</row>
    <row r="1304" customFormat="false" ht="15.75" hidden="false" customHeight="true" outlineLevel="0" collapsed="false"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</row>
    <row r="1305" customFormat="false" ht="15.75" hidden="false" customHeight="true" outlineLevel="0" collapsed="false"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</row>
    <row r="1306" customFormat="false" ht="15.75" hidden="false" customHeight="true" outlineLevel="0" collapsed="false"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</row>
    <row r="1307" customFormat="false" ht="15.75" hidden="false" customHeight="true" outlineLevel="0" collapsed="false"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</row>
    <row r="1308" customFormat="false" ht="15.75" hidden="false" customHeight="true" outlineLevel="0" collapsed="false"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</row>
    <row r="1309" customFormat="false" ht="15.75" hidden="false" customHeight="true" outlineLevel="0" collapsed="false"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</row>
    <row r="1310" customFormat="false" ht="15.75" hidden="false" customHeight="true" outlineLevel="0" collapsed="false"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</row>
    <row r="1311" customFormat="false" ht="15.75" hidden="false" customHeight="true" outlineLevel="0" collapsed="false"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</row>
    <row r="1312" customFormat="false" ht="15.75" hidden="false" customHeight="true" outlineLevel="0" collapsed="false"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</row>
    <row r="1313" customFormat="false" ht="15.75" hidden="false" customHeight="true" outlineLevel="0" collapsed="false"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</row>
    <row r="1314" customFormat="false" ht="15.75" hidden="false" customHeight="true" outlineLevel="0" collapsed="false"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</row>
    <row r="1315" customFormat="false" ht="15.75" hidden="false" customHeight="true" outlineLevel="0" collapsed="false"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</row>
    <row r="1316" customFormat="false" ht="15.75" hidden="false" customHeight="true" outlineLevel="0" collapsed="false"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</row>
    <row r="1317" customFormat="false" ht="15.75" hidden="false" customHeight="true" outlineLevel="0" collapsed="false"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</row>
    <row r="1318" customFormat="false" ht="15.75" hidden="false" customHeight="true" outlineLevel="0" collapsed="false"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</row>
    <row r="1319" customFormat="false" ht="15.75" hidden="false" customHeight="true" outlineLevel="0" collapsed="false"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</row>
    <row r="1320" customFormat="false" ht="15.75" hidden="false" customHeight="true" outlineLevel="0" collapsed="false"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</row>
    <row r="1321" customFormat="false" ht="15.75" hidden="false" customHeight="true" outlineLevel="0" collapsed="false"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</row>
    <row r="1322" customFormat="false" ht="15.75" hidden="false" customHeight="true" outlineLevel="0" collapsed="false"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</row>
    <row r="1323" customFormat="false" ht="15.75" hidden="false" customHeight="true" outlineLevel="0" collapsed="false"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</row>
    <row r="1324" customFormat="false" ht="15.75" hidden="false" customHeight="true" outlineLevel="0" collapsed="false"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</row>
    <row r="1325" customFormat="false" ht="15.75" hidden="false" customHeight="true" outlineLevel="0" collapsed="false"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</row>
    <row r="1326" customFormat="false" ht="15.75" hidden="false" customHeight="true" outlineLevel="0" collapsed="false"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</row>
    <row r="1327" customFormat="false" ht="15.75" hidden="false" customHeight="true" outlineLevel="0" collapsed="false"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</row>
    <row r="1328" customFormat="false" ht="15.75" hidden="false" customHeight="true" outlineLevel="0" collapsed="false"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</row>
    <row r="1329" customFormat="false" ht="15.75" hidden="false" customHeight="true" outlineLevel="0" collapsed="false"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</row>
    <row r="1330" customFormat="false" ht="15.75" hidden="false" customHeight="true" outlineLevel="0" collapsed="false"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</row>
    <row r="1331" customFormat="false" ht="15.75" hidden="false" customHeight="true" outlineLevel="0" collapsed="false"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</row>
    <row r="1332" customFormat="false" ht="15.75" hidden="false" customHeight="true" outlineLevel="0" collapsed="false"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</row>
    <row r="1333" customFormat="false" ht="15.75" hidden="false" customHeight="true" outlineLevel="0" collapsed="false"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</row>
    <row r="1334" customFormat="false" ht="15.75" hidden="false" customHeight="true" outlineLevel="0" collapsed="false"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</row>
    <row r="1335" customFormat="false" ht="15.75" hidden="false" customHeight="true" outlineLevel="0" collapsed="false"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</row>
    <row r="1336" customFormat="false" ht="15.75" hidden="false" customHeight="true" outlineLevel="0" collapsed="false"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</row>
    <row r="1337" customFormat="false" ht="15.75" hidden="false" customHeight="true" outlineLevel="0" collapsed="false"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</row>
    <row r="1338" customFormat="false" ht="15.75" hidden="false" customHeight="true" outlineLevel="0" collapsed="false"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</row>
    <row r="1339" customFormat="false" ht="15.75" hidden="false" customHeight="true" outlineLevel="0" collapsed="false"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</row>
    <row r="1340" customFormat="false" ht="15.75" hidden="false" customHeight="true" outlineLevel="0" collapsed="false"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</row>
    <row r="1341" customFormat="false" ht="15.75" hidden="false" customHeight="true" outlineLevel="0" collapsed="false"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</row>
  </sheetData>
  <mergeCells count="247">
    <mergeCell ref="A2:O3"/>
    <mergeCell ref="A5:O5"/>
    <mergeCell ref="D7:G7"/>
    <mergeCell ref="I7:L7"/>
    <mergeCell ref="D8:E8"/>
    <mergeCell ref="F8:G8"/>
    <mergeCell ref="D9:E9"/>
    <mergeCell ref="F9:G9"/>
    <mergeCell ref="A11:O11"/>
    <mergeCell ref="P12:P14"/>
    <mergeCell ref="A13:F13"/>
    <mergeCell ref="G13:O13"/>
    <mergeCell ref="Q13:Q15"/>
    <mergeCell ref="D14:F14"/>
    <mergeCell ref="G14:I14"/>
    <mergeCell ref="J14:L14"/>
    <mergeCell ref="M14:O14"/>
    <mergeCell ref="A35:C35"/>
    <mergeCell ref="A39:C39"/>
    <mergeCell ref="A56:C56"/>
    <mergeCell ref="A62:C62"/>
    <mergeCell ref="A68:C68"/>
    <mergeCell ref="A78:C78"/>
    <mergeCell ref="A79:C79"/>
    <mergeCell ref="A81:F81"/>
    <mergeCell ref="G81:O81"/>
    <mergeCell ref="D82:F82"/>
    <mergeCell ref="G82:I82"/>
    <mergeCell ref="J82:L82"/>
    <mergeCell ref="M82:O82"/>
    <mergeCell ref="A101:C101"/>
    <mergeCell ref="A107:C107"/>
    <mergeCell ref="A116:C116"/>
    <mergeCell ref="A122:C122"/>
    <mergeCell ref="B128:C128"/>
    <mergeCell ref="A134:C134"/>
    <mergeCell ref="A135:C135"/>
    <mergeCell ref="A140:F140"/>
    <mergeCell ref="G140:O140"/>
    <mergeCell ref="D141:F141"/>
    <mergeCell ref="G141:I141"/>
    <mergeCell ref="J141:L141"/>
    <mergeCell ref="M141:O141"/>
    <mergeCell ref="A152:C152"/>
    <mergeCell ref="A158:C158"/>
    <mergeCell ref="A188:C188"/>
    <mergeCell ref="A205:C205"/>
    <mergeCell ref="A219:C219"/>
    <mergeCell ref="A226:C226"/>
    <mergeCell ref="A227:C227"/>
    <mergeCell ref="A229:F229"/>
    <mergeCell ref="G229:O229"/>
    <mergeCell ref="A230:A231"/>
    <mergeCell ref="B230:B231"/>
    <mergeCell ref="C230:C231"/>
    <mergeCell ref="D230:F230"/>
    <mergeCell ref="G230:I230"/>
    <mergeCell ref="J230:L230"/>
    <mergeCell ref="M230:O230"/>
    <mergeCell ref="A233:C233"/>
    <mergeCell ref="A239:C239"/>
    <mergeCell ref="A255:C255"/>
    <mergeCell ref="A261:C261"/>
    <mergeCell ref="A268:C268"/>
    <mergeCell ref="A273:C273"/>
    <mergeCell ref="A274:C274"/>
    <mergeCell ref="A279:F279"/>
    <mergeCell ref="G279:O279"/>
    <mergeCell ref="D280:F280"/>
    <mergeCell ref="G280:I280"/>
    <mergeCell ref="J280:L280"/>
    <mergeCell ref="M280:O280"/>
    <mergeCell ref="A302:C302"/>
    <mergeCell ref="A308:C308"/>
    <mergeCell ref="A318:C318"/>
    <mergeCell ref="A324:C324"/>
    <mergeCell ref="A329:C329"/>
    <mergeCell ref="A333:C333"/>
    <mergeCell ref="A334:C334"/>
    <mergeCell ref="A336:C336"/>
    <mergeCell ref="A338:O338"/>
    <mergeCell ref="A339:F339"/>
    <mergeCell ref="G339:O339"/>
    <mergeCell ref="D340:F340"/>
    <mergeCell ref="G340:I340"/>
    <mergeCell ref="J340:L340"/>
    <mergeCell ref="M340:O340"/>
    <mergeCell ref="A344:C344"/>
    <mergeCell ref="A350:C350"/>
    <mergeCell ref="A351:C351"/>
    <mergeCell ref="A356:F356"/>
    <mergeCell ref="G356:O356"/>
    <mergeCell ref="D357:F357"/>
    <mergeCell ref="G357:I357"/>
    <mergeCell ref="J357:L357"/>
    <mergeCell ref="M357:O357"/>
    <mergeCell ref="A361:C361"/>
    <mergeCell ref="A362:C362"/>
    <mergeCell ref="A364:F364"/>
    <mergeCell ref="G364:O364"/>
    <mergeCell ref="D365:F365"/>
    <mergeCell ref="G365:I365"/>
    <mergeCell ref="J365:L365"/>
    <mergeCell ref="M365:O365"/>
    <mergeCell ref="A368:C368"/>
    <mergeCell ref="A370:F370"/>
    <mergeCell ref="G370:O370"/>
    <mergeCell ref="D371:F371"/>
    <mergeCell ref="G371:I371"/>
    <mergeCell ref="J371:L371"/>
    <mergeCell ref="M371:O371"/>
    <mergeCell ref="A374:C374"/>
    <mergeCell ref="A383:C383"/>
    <mergeCell ref="A388:C388"/>
    <mergeCell ref="A389:C389"/>
    <mergeCell ref="A390:F390"/>
    <mergeCell ref="D391:F391"/>
    <mergeCell ref="G391:I391"/>
    <mergeCell ref="J391:L391"/>
    <mergeCell ref="M391:O391"/>
    <mergeCell ref="A394:C394"/>
    <mergeCell ref="A395:C395"/>
    <mergeCell ref="A397:F397"/>
    <mergeCell ref="G397:O397"/>
    <mergeCell ref="D398:F398"/>
    <mergeCell ref="G398:I398"/>
    <mergeCell ref="J398:L398"/>
    <mergeCell ref="M398:O398"/>
    <mergeCell ref="A401:C401"/>
    <mergeCell ref="A405:C405"/>
    <mergeCell ref="A406:C406"/>
    <mergeCell ref="A408:C408"/>
    <mergeCell ref="A410:C410"/>
    <mergeCell ref="A413:C413"/>
    <mergeCell ref="A414:C414"/>
    <mergeCell ref="A416:F416"/>
    <mergeCell ref="G416:O416"/>
    <mergeCell ref="D417:F417"/>
    <mergeCell ref="G417:I417"/>
    <mergeCell ref="J417:L417"/>
    <mergeCell ref="M417:O417"/>
    <mergeCell ref="A436:C436"/>
    <mergeCell ref="A442:C442"/>
    <mergeCell ref="A451:C451"/>
    <mergeCell ref="A457:C457"/>
    <mergeCell ref="B463:C463"/>
    <mergeCell ref="A469:C469"/>
    <mergeCell ref="A470:C470"/>
    <mergeCell ref="A475:F475"/>
    <mergeCell ref="G475:O475"/>
    <mergeCell ref="D476:F476"/>
    <mergeCell ref="G476:I476"/>
    <mergeCell ref="J476:L476"/>
    <mergeCell ref="M476:O476"/>
    <mergeCell ref="A487:C487"/>
    <mergeCell ref="A493:C493"/>
    <mergeCell ref="A523:C523"/>
    <mergeCell ref="A540:C540"/>
    <mergeCell ref="A554:C554"/>
    <mergeCell ref="A561:C561"/>
    <mergeCell ref="A562:C562"/>
    <mergeCell ref="A564:F564"/>
    <mergeCell ref="G564:O564"/>
    <mergeCell ref="A565:A566"/>
    <mergeCell ref="B565:B566"/>
    <mergeCell ref="C565:C566"/>
    <mergeCell ref="D565:F565"/>
    <mergeCell ref="G565:I565"/>
    <mergeCell ref="J565:L565"/>
    <mergeCell ref="M565:O565"/>
    <mergeCell ref="A568:C568"/>
    <mergeCell ref="A574:C574"/>
    <mergeCell ref="A590:C590"/>
    <mergeCell ref="A596:C596"/>
    <mergeCell ref="A603:C603"/>
    <mergeCell ref="A608:C608"/>
    <mergeCell ref="A609:C609"/>
    <mergeCell ref="A614:F614"/>
    <mergeCell ref="G614:O614"/>
    <mergeCell ref="D615:F615"/>
    <mergeCell ref="G615:I615"/>
    <mergeCell ref="J615:L615"/>
    <mergeCell ref="M615:O615"/>
    <mergeCell ref="A637:C637"/>
    <mergeCell ref="A643:C643"/>
    <mergeCell ref="A653:C653"/>
    <mergeCell ref="A659:C659"/>
    <mergeCell ref="A664:C664"/>
    <mergeCell ref="A668:C668"/>
    <mergeCell ref="A669:C669"/>
    <mergeCell ref="A671:C671"/>
    <mergeCell ref="A673:O673"/>
    <mergeCell ref="A674:F674"/>
    <mergeCell ref="G674:O674"/>
    <mergeCell ref="D675:F675"/>
    <mergeCell ref="G675:I675"/>
    <mergeCell ref="J675:L675"/>
    <mergeCell ref="M675:O675"/>
    <mergeCell ref="A679:C679"/>
    <mergeCell ref="A685:C685"/>
    <mergeCell ref="A686:C686"/>
    <mergeCell ref="A691:F691"/>
    <mergeCell ref="G691:O691"/>
    <mergeCell ref="D692:F692"/>
    <mergeCell ref="G692:I692"/>
    <mergeCell ref="J692:L692"/>
    <mergeCell ref="M692:O692"/>
    <mergeCell ref="A696:C696"/>
    <mergeCell ref="A697:C697"/>
    <mergeCell ref="A699:F699"/>
    <mergeCell ref="G699:O699"/>
    <mergeCell ref="D700:F700"/>
    <mergeCell ref="G700:I700"/>
    <mergeCell ref="J700:L700"/>
    <mergeCell ref="M700:O700"/>
    <mergeCell ref="A703:C703"/>
    <mergeCell ref="A705:F705"/>
    <mergeCell ref="G705:O705"/>
    <mergeCell ref="D706:F706"/>
    <mergeCell ref="G706:I706"/>
    <mergeCell ref="J706:L706"/>
    <mergeCell ref="M706:O706"/>
    <mergeCell ref="A709:C709"/>
    <mergeCell ref="A718:C718"/>
    <mergeCell ref="A723:C723"/>
    <mergeCell ref="A724:C724"/>
    <mergeCell ref="A725:F725"/>
    <mergeCell ref="D726:F726"/>
    <mergeCell ref="G726:I726"/>
    <mergeCell ref="J726:L726"/>
    <mergeCell ref="M726:O726"/>
    <mergeCell ref="A729:C729"/>
    <mergeCell ref="A730:C730"/>
    <mergeCell ref="A732:F732"/>
    <mergeCell ref="G732:O732"/>
    <mergeCell ref="D733:F733"/>
    <mergeCell ref="G733:I733"/>
    <mergeCell ref="J733:L733"/>
    <mergeCell ref="M733:O733"/>
    <mergeCell ref="A736:C736"/>
    <mergeCell ref="A740:C740"/>
    <mergeCell ref="A741:C741"/>
    <mergeCell ref="A743:C743"/>
    <mergeCell ref="A745:C745"/>
    <mergeCell ref="A746:O746"/>
    <mergeCell ref="F767:K767"/>
    <mergeCell ref="F768:K768"/>
  </mergeCells>
  <printOptions headings="false" gridLines="false" gridLinesSet="true" horizontalCentered="false" verticalCentered="false"/>
  <pageMargins left="0.340277777777778" right="0.170138888888889" top="0.270138888888889" bottom="0.170138888888889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2019-10-31T21:45:54Z</dcterms:created>
  <dc:creator>Usuario</dc:creator>
  <dc:description/>
  <dc:language>es-MX</dc:language>
  <cp:lastModifiedBy/>
  <dcterms:modified xsi:type="dcterms:W3CDTF">2025-07-28T14:02:47Z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